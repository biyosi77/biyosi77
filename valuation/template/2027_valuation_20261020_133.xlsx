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2027 밸류에이션" sheetId="1" state="visible" r:id="rId1"/>
    <sheet xmlns:r="http://schemas.openxmlformats.org/officeDocument/2006/relationships" name="원자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;\(#,##0.0\);&quot;-&quot;"/>
    <numFmt numFmtId="165" formatCode="000000"/>
    <numFmt numFmtId="166" formatCode="0.0%"/>
    <numFmt numFmtId="167" formatCode="#,##0.0;\(#,##0.0\);\-"/>
    <numFmt numFmtId="168" formatCode="#,##0;\(#,##0\);&quot;-&quot;"/>
    <numFmt numFmtId="169" formatCode="0.0&quot;x&quot;"/>
    <numFmt numFmtId="170" formatCode="0.0%;\(0.0%\);\-"/>
  </numFmts>
  <fonts count="14">
    <font>
      <name val="Carlito"/>
      <sz val="11"/>
    </font>
    <font>
      <name val="NanumGothic"/>
      <sz val="10"/>
    </font>
    <font>
      <name val="NanumGothic"/>
      <b val="1"/>
      <sz val="15"/>
    </font>
    <font>
      <name val="NanumGothic"/>
      <b val="1"/>
      <color rgb="FFFFFFFF"/>
      <sz val="10"/>
    </font>
    <font>
      <name val="NanumGothic"/>
      <color rgb="FF0000FF"/>
      <sz val="10"/>
    </font>
    <font>
      <name val="NanumGothic"/>
      <color rgb="FF000000"/>
      <sz val="10"/>
    </font>
    <font>
      <name val="NanumGothic"/>
      <sz val="11"/>
    </font>
    <font>
      <name val="Carlito"/>
      <sz val="11"/>
    </font>
    <font>
      <name val="NanumGothic"/>
      <b val="1"/>
      <sz val="10"/>
    </font>
    <font>
      <name val="NanumGothic"/>
      <family val="3"/>
      <b val="1"/>
      <sz val="10"/>
    </font>
    <font>
      <name val="NanumGothic"/>
      <family val="3"/>
      <b val="1"/>
      <color rgb="FF000000"/>
      <sz val="10"/>
    </font>
    <font>
      <name val="돋움"/>
      <charset val="129"/>
      <family val="3"/>
      <sz val="8"/>
    </font>
    <font>
      <name val="NanumGothic"/>
      <family val="3"/>
      <sz val="10"/>
    </font>
    <font>
      <name val="NanumGothic"/>
      <family val="3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83B56"/>
      </patternFill>
    </fill>
    <fill>
      <patternFill patternType="solid">
        <fgColor rgb="FF183B56"/>
      </patternFill>
    </fill>
    <fill>
      <patternFill patternType="solid">
        <fgColor rgb="FF183B56"/>
      </patternFill>
    </fill>
    <fill>
      <patternFill patternType="solid">
        <fgColor rgb="FFC0E6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83B56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7" fillId="0" borderId="0"/>
    <xf numFmtId="0" fontId="7" fillId="0" borderId="0"/>
  </cellStyleXfs>
  <cellXfs count="141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1"/>
    <xf numFmtId="0" fontId="3" fillId="3" borderId="0" applyAlignment="1" pivotButton="0" quotePrefix="0" xfId="1">
      <alignment horizontal="center"/>
    </xf>
    <xf numFmtId="0" fontId="1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3" fontId="4" fillId="0" borderId="0" applyAlignment="1" pivotButton="0" quotePrefix="0" xfId="1">
      <alignment vertical="center"/>
    </xf>
    <xf numFmtId="165" fontId="1" fillId="0" borderId="0" applyAlignment="1" pivotButton="0" quotePrefix="0" xfId="1">
      <alignment vertical="center"/>
    </xf>
    <xf numFmtId="1" fontId="1" fillId="0" borderId="0" applyAlignment="1" pivotButton="0" quotePrefix="0" xfId="1">
      <alignment vertical="center"/>
    </xf>
    <xf numFmtId="0" fontId="3" fillId="3" borderId="0" applyAlignment="1" pivotButton="0" quotePrefix="0" xfId="1">
      <alignment horizontal="center" vertical="center"/>
    </xf>
    <xf numFmtId="166" fontId="4" fillId="0" borderId="0" applyAlignment="1" pivotButton="0" quotePrefix="0" xfId="1">
      <alignment vertical="center"/>
    </xf>
    <xf numFmtId="0" fontId="3" fillId="4" borderId="0" applyAlignment="1" pivotButton="0" quotePrefix="0" xfId="1">
      <alignment horizontal="center" vertical="center"/>
    </xf>
    <xf numFmtId="0" fontId="5" fillId="0" borderId="0" applyAlignment="1" pivotButton="0" quotePrefix="0" xfId="1">
      <alignment vertical="center" wrapText="1"/>
    </xf>
    <xf numFmtId="0" fontId="3" fillId="5" borderId="0" applyAlignment="1" pivotButton="0" quotePrefix="0" xfId="1">
      <alignment vertical="center" wrapText="1"/>
    </xf>
    <xf numFmtId="0" fontId="6" fillId="0" borderId="0" applyAlignment="1" pivotButton="0" quotePrefix="0" xfId="1">
      <alignment vertical="center" wrapText="1"/>
    </xf>
    <xf numFmtId="0" fontId="3" fillId="9" borderId="0" applyAlignment="1" pivotButton="0" quotePrefix="0" xfId="1">
      <alignment horizontal="center" vertical="center" wrapText="1"/>
    </xf>
    <xf numFmtId="167" fontId="4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1" fillId="6" borderId="0" applyAlignment="1" pivotButton="0" quotePrefix="0" xfId="1">
      <alignment horizontal="center" vertical="center"/>
    </xf>
    <xf numFmtId="165" fontId="1" fillId="6" borderId="0" applyAlignment="1" pivotButton="0" quotePrefix="0" xfId="1">
      <alignment horizontal="center" vertical="center"/>
    </xf>
    <xf numFmtId="168" fontId="1" fillId="6" borderId="0" applyAlignment="1" pivotButton="0" quotePrefix="0" xfId="1">
      <alignment horizontal="center" vertical="center"/>
    </xf>
    <xf numFmtId="167" fontId="5" fillId="6" borderId="0" applyAlignment="1" pivotButton="0" quotePrefix="0" xfId="1">
      <alignment horizontal="center" vertical="center"/>
    </xf>
    <xf numFmtId="169" fontId="1" fillId="6" borderId="0" applyAlignment="1" pivotButton="0" quotePrefix="0" xfId="1">
      <alignment horizontal="center" vertical="center"/>
    </xf>
    <xf numFmtId="0" fontId="1" fillId="7" borderId="0" applyAlignment="1" pivotButton="0" quotePrefix="0" xfId="1">
      <alignment horizontal="center" vertical="center"/>
    </xf>
    <xf numFmtId="165" fontId="1" fillId="7" borderId="0" applyAlignment="1" pivotButton="0" quotePrefix="0" xfId="1">
      <alignment horizontal="center" vertical="center"/>
    </xf>
    <xf numFmtId="168" fontId="1" fillId="7" borderId="0" applyAlignment="1" pivotButton="0" quotePrefix="0" xfId="1">
      <alignment horizontal="center" vertical="center"/>
    </xf>
    <xf numFmtId="167" fontId="5" fillId="7" borderId="0" applyAlignment="1" pivotButton="0" quotePrefix="0" xfId="1">
      <alignment horizontal="center" vertical="center"/>
    </xf>
    <xf numFmtId="169" fontId="1" fillId="7" borderId="0" applyAlignment="1" pivotButton="0" quotePrefix="0" xfId="1">
      <alignment horizontal="center" vertical="center"/>
    </xf>
    <xf numFmtId="0" fontId="1" fillId="8" borderId="0" applyAlignment="1" pivotButton="0" quotePrefix="0" xfId="1">
      <alignment horizontal="center" vertical="center"/>
    </xf>
    <xf numFmtId="165" fontId="1" fillId="8" borderId="0" applyAlignment="1" pivotButton="0" quotePrefix="0" xfId="1">
      <alignment horizontal="center" vertical="center"/>
    </xf>
    <xf numFmtId="168" fontId="1" fillId="8" borderId="0" applyAlignment="1" pivotButton="0" quotePrefix="0" xfId="1">
      <alignment horizontal="center" vertical="center"/>
    </xf>
    <xf numFmtId="167" fontId="5" fillId="2" borderId="0" applyAlignment="1" pivotButton="0" quotePrefix="0" xfId="1">
      <alignment horizontal="center" vertical="center"/>
    </xf>
    <xf numFmtId="169" fontId="1" fillId="8" borderId="0" applyAlignment="1" pivotButton="0" quotePrefix="0" xfId="1">
      <alignment horizontal="center" vertical="center"/>
    </xf>
    <xf numFmtId="0" fontId="3" fillId="9" borderId="1" applyAlignment="1" pivotButton="0" quotePrefix="0" xfId="1">
      <alignment horizontal="center" vertical="center" wrapText="1"/>
    </xf>
    <xf numFmtId="170" fontId="5" fillId="6" borderId="2" applyAlignment="1" pivotButton="0" quotePrefix="0" xfId="1">
      <alignment horizontal="center" vertical="center"/>
    </xf>
    <xf numFmtId="170" fontId="5" fillId="7" borderId="2" applyAlignment="1" pivotButton="0" quotePrefix="0" xfId="1">
      <alignment horizontal="center" vertical="center"/>
    </xf>
    <xf numFmtId="170" fontId="5" fillId="2" borderId="2" applyAlignment="1" pivotButton="0" quotePrefix="0" xfId="1">
      <alignment horizontal="center" vertical="center"/>
    </xf>
    <xf numFmtId="170" fontId="5" fillId="2" borderId="3" applyAlignment="1" pivotButton="0" quotePrefix="0" xfId="1">
      <alignment horizontal="center" vertical="center"/>
    </xf>
    <xf numFmtId="0" fontId="3" fillId="3" borderId="4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3" borderId="6" applyAlignment="1" pivotButton="0" quotePrefix="0" xfId="1">
      <alignment horizontal="center" vertical="center"/>
    </xf>
    <xf numFmtId="169" fontId="1" fillId="6" borderId="7" applyAlignment="1" pivotButton="0" quotePrefix="0" xfId="1">
      <alignment horizontal="center" vertical="center"/>
    </xf>
    <xf numFmtId="166" fontId="5" fillId="6" borderId="8" applyAlignment="1" pivotButton="0" quotePrefix="0" xfId="1">
      <alignment horizontal="center" vertical="center"/>
    </xf>
    <xf numFmtId="169" fontId="1" fillId="7" borderId="7" applyAlignment="1" pivotButton="0" quotePrefix="0" xfId="1">
      <alignment horizontal="center" vertical="center"/>
    </xf>
    <xf numFmtId="166" fontId="5" fillId="7" borderId="8" applyAlignment="1" pivotButton="0" quotePrefix="0" xfId="1">
      <alignment horizontal="center" vertical="center"/>
    </xf>
    <xf numFmtId="169" fontId="1" fillId="8" borderId="7" applyAlignment="1" pivotButton="0" quotePrefix="0" xfId="1">
      <alignment horizontal="center" vertical="center"/>
    </xf>
    <xf numFmtId="166" fontId="5" fillId="8" borderId="8" applyAlignment="1" pivotButton="0" quotePrefix="0" xfId="1">
      <alignment horizontal="center" vertical="center"/>
    </xf>
    <xf numFmtId="169" fontId="1" fillId="8" borderId="9" applyAlignment="1" pivotButton="0" quotePrefix="0" xfId="1">
      <alignment horizontal="center" vertical="center"/>
    </xf>
    <xf numFmtId="169" fontId="1" fillId="8" borderId="10" applyAlignment="1" pivotButton="0" quotePrefix="0" xfId="1">
      <alignment horizontal="center" vertical="center"/>
    </xf>
    <xf numFmtId="166" fontId="5" fillId="8" borderId="11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8" fillId="7" borderId="0" applyAlignment="1" pivotButton="0" quotePrefix="0" xfId="1">
      <alignment horizontal="center" vertical="center"/>
    </xf>
    <xf numFmtId="165" fontId="9" fillId="7" borderId="0" applyAlignment="1" pivotButton="0" quotePrefix="0" xfId="1">
      <alignment horizontal="center" vertical="center"/>
    </xf>
    <xf numFmtId="168" fontId="9" fillId="7" borderId="0" applyAlignment="1" pivotButton="0" quotePrefix="0" xfId="1">
      <alignment horizontal="center" vertical="center"/>
    </xf>
    <xf numFmtId="167" fontId="10" fillId="7" borderId="0" applyAlignment="1" pivotButton="0" quotePrefix="0" xfId="1">
      <alignment horizontal="center" vertical="center"/>
    </xf>
    <xf numFmtId="170" fontId="10" fillId="7" borderId="2" applyAlignment="1" pivotButton="0" quotePrefix="0" xfId="1">
      <alignment horizontal="center" vertical="center"/>
    </xf>
    <xf numFmtId="169" fontId="9" fillId="7" borderId="7" applyAlignment="1" pivotButton="0" quotePrefix="0" xfId="1">
      <alignment horizontal="center" vertical="center"/>
    </xf>
    <xf numFmtId="169" fontId="9" fillId="7" borderId="0" applyAlignment="1" pivotButton="0" quotePrefix="0" xfId="1">
      <alignment horizontal="center" vertical="center"/>
    </xf>
    <xf numFmtId="166" fontId="10" fillId="7" borderId="8" applyAlignment="1" pivotButton="0" quotePrefix="0" xfId="1">
      <alignment horizontal="center" vertical="center"/>
    </xf>
    <xf numFmtId="0" fontId="9" fillId="6" borderId="0" applyAlignment="1" pivotButton="0" quotePrefix="0" xfId="1">
      <alignment horizontal="center" vertical="center"/>
    </xf>
    <xf numFmtId="165" fontId="9" fillId="6" borderId="0" applyAlignment="1" pivotButton="0" quotePrefix="0" xfId="1">
      <alignment horizontal="center" vertical="center"/>
    </xf>
    <xf numFmtId="168" fontId="9" fillId="6" borderId="0" applyAlignment="1" pivotButton="0" quotePrefix="0" xfId="1">
      <alignment horizontal="center" vertical="center"/>
    </xf>
    <xf numFmtId="167" fontId="10" fillId="6" borderId="0" applyAlignment="1" pivotButton="0" quotePrefix="0" xfId="1">
      <alignment horizontal="center" vertical="center"/>
    </xf>
    <xf numFmtId="170" fontId="10" fillId="6" borderId="2" applyAlignment="1" pivotButton="0" quotePrefix="0" xfId="1">
      <alignment horizontal="center" vertical="center"/>
    </xf>
    <xf numFmtId="169" fontId="9" fillId="6" borderId="7" applyAlignment="1" pivotButton="0" quotePrefix="0" xfId="1">
      <alignment horizontal="center" vertical="center"/>
    </xf>
    <xf numFmtId="169" fontId="9" fillId="6" borderId="0" applyAlignment="1" pivotButton="0" quotePrefix="0" xfId="1">
      <alignment horizontal="center" vertical="center"/>
    </xf>
    <xf numFmtId="166" fontId="10" fillId="6" borderId="8" applyAlignment="1" pivotButton="0" quotePrefix="0" xfId="1">
      <alignment horizontal="center" vertical="center"/>
    </xf>
    <xf numFmtId="0" fontId="8" fillId="6" borderId="0" applyAlignment="1" pivotButton="0" quotePrefix="0" xfId="1">
      <alignment horizontal="center" vertical="center"/>
    </xf>
    <xf numFmtId="0" fontId="8" fillId="8" borderId="0" applyAlignment="1" pivotButton="0" quotePrefix="0" xfId="1">
      <alignment horizontal="center" vertical="center"/>
    </xf>
    <xf numFmtId="165" fontId="9" fillId="8" borderId="0" applyAlignment="1" pivotButton="0" quotePrefix="0" xfId="1">
      <alignment horizontal="center" vertical="center"/>
    </xf>
    <xf numFmtId="168" fontId="9" fillId="8" borderId="0" applyAlignment="1" pivotButton="0" quotePrefix="0" xfId="1">
      <alignment horizontal="center" vertical="center"/>
    </xf>
    <xf numFmtId="167" fontId="10" fillId="2" borderId="0" applyAlignment="1" pivotButton="0" quotePrefix="0" xfId="1">
      <alignment horizontal="center" vertical="center"/>
    </xf>
    <xf numFmtId="170" fontId="10" fillId="2" borderId="2" applyAlignment="1" pivotButton="0" quotePrefix="0" xfId="1">
      <alignment horizontal="center" vertical="center"/>
    </xf>
    <xf numFmtId="169" fontId="9" fillId="8" borderId="7" applyAlignment="1" pivotButton="0" quotePrefix="0" xfId="1">
      <alignment horizontal="center" vertical="center"/>
    </xf>
    <xf numFmtId="169" fontId="9" fillId="8" borderId="0" applyAlignment="1" pivotButton="0" quotePrefix="0" xfId="1">
      <alignment horizontal="center" vertical="center"/>
    </xf>
    <xf numFmtId="166" fontId="10" fillId="8" borderId="8" applyAlignment="1" pivotButton="0" quotePrefix="0" xfId="1">
      <alignment horizontal="center" vertical="center"/>
    </xf>
    <xf numFmtId="165" fontId="12" fillId="7" borderId="0" applyAlignment="1" pivotButton="0" quotePrefix="0" xfId="1">
      <alignment horizontal="center" vertical="center"/>
    </xf>
    <xf numFmtId="168" fontId="12" fillId="7" borderId="0" applyAlignment="1" pivotButton="0" quotePrefix="0" xfId="1">
      <alignment horizontal="center" vertical="center"/>
    </xf>
    <xf numFmtId="167" fontId="13" fillId="7" borderId="0" applyAlignment="1" pivotButton="0" quotePrefix="0" xfId="1">
      <alignment horizontal="center" vertical="center"/>
    </xf>
    <xf numFmtId="170" fontId="13" fillId="7" borderId="2" applyAlignment="1" pivotButton="0" quotePrefix="0" xfId="1">
      <alignment horizontal="center" vertical="center"/>
    </xf>
    <xf numFmtId="169" fontId="12" fillId="7" borderId="7" applyAlignment="1" pivotButton="0" quotePrefix="0" xfId="1">
      <alignment horizontal="center" vertical="center"/>
    </xf>
    <xf numFmtId="169" fontId="12" fillId="7" borderId="0" applyAlignment="1" pivotButton="0" quotePrefix="0" xfId="1">
      <alignment horizontal="center" vertical="center"/>
    </xf>
    <xf numFmtId="166" fontId="13" fillId="7" borderId="8" applyAlignment="1" pivotButton="0" quotePrefix="0" xfId="1">
      <alignment horizontal="center" vertical="center"/>
    </xf>
    <xf numFmtId="165" fontId="9" fillId="6" borderId="0" applyAlignment="1" pivotButton="0" quotePrefix="0" xfId="1">
      <alignment horizontal="center" vertical="center"/>
    </xf>
    <xf numFmtId="168" fontId="9" fillId="6" borderId="0" applyAlignment="1" pivotButton="0" quotePrefix="0" xfId="1">
      <alignment horizontal="center" vertical="center"/>
    </xf>
    <xf numFmtId="167" fontId="10" fillId="6" borderId="0" applyAlignment="1" pivotButton="0" quotePrefix="0" xfId="1">
      <alignment horizontal="center" vertical="center"/>
    </xf>
    <xf numFmtId="170" fontId="10" fillId="6" borderId="2" applyAlignment="1" pivotButton="0" quotePrefix="0" xfId="1">
      <alignment horizontal="center" vertical="center"/>
    </xf>
    <xf numFmtId="169" fontId="9" fillId="6" borderId="7" applyAlignment="1" pivotButton="0" quotePrefix="0" xfId="1">
      <alignment horizontal="center" vertical="center"/>
    </xf>
    <xf numFmtId="169" fontId="9" fillId="6" borderId="0" applyAlignment="1" pivotButton="0" quotePrefix="0" xfId="1">
      <alignment horizontal="center" vertical="center"/>
    </xf>
    <xf numFmtId="166" fontId="10" fillId="6" borderId="8" applyAlignment="1" pivotButton="0" quotePrefix="0" xfId="1">
      <alignment horizontal="center" vertical="center"/>
    </xf>
    <xf numFmtId="165" fontId="1" fillId="7" borderId="0" applyAlignment="1" pivotButton="0" quotePrefix="0" xfId="1">
      <alignment horizontal="center" vertical="center"/>
    </xf>
    <xf numFmtId="168" fontId="1" fillId="7" borderId="0" applyAlignment="1" pivotButton="0" quotePrefix="0" xfId="1">
      <alignment horizontal="center" vertical="center"/>
    </xf>
    <xf numFmtId="167" fontId="5" fillId="7" borderId="0" applyAlignment="1" pivotButton="0" quotePrefix="0" xfId="1">
      <alignment horizontal="center" vertical="center"/>
    </xf>
    <xf numFmtId="170" fontId="5" fillId="7" borderId="2" applyAlignment="1" pivotButton="0" quotePrefix="0" xfId="1">
      <alignment horizontal="center" vertical="center"/>
    </xf>
    <xf numFmtId="169" fontId="1" fillId="7" borderId="7" applyAlignment="1" pivotButton="0" quotePrefix="0" xfId="1">
      <alignment horizontal="center" vertical="center"/>
    </xf>
    <xf numFmtId="169" fontId="1" fillId="7" borderId="0" applyAlignment="1" pivotButton="0" quotePrefix="0" xfId="1">
      <alignment horizontal="center" vertical="center"/>
    </xf>
    <xf numFmtId="166" fontId="5" fillId="7" borderId="8" applyAlignment="1" pivotButton="0" quotePrefix="0" xfId="1">
      <alignment horizontal="center" vertical="center"/>
    </xf>
    <xf numFmtId="165" fontId="9" fillId="8" borderId="0" applyAlignment="1" pivotButton="0" quotePrefix="0" xfId="1">
      <alignment horizontal="center" vertical="center"/>
    </xf>
    <xf numFmtId="168" fontId="9" fillId="8" borderId="0" applyAlignment="1" pivotButton="0" quotePrefix="0" xfId="1">
      <alignment horizontal="center" vertical="center"/>
    </xf>
    <xf numFmtId="167" fontId="10" fillId="2" borderId="0" applyAlignment="1" pivotButton="0" quotePrefix="0" xfId="1">
      <alignment horizontal="center" vertical="center"/>
    </xf>
    <xf numFmtId="170" fontId="10" fillId="2" borderId="2" applyAlignment="1" pivotButton="0" quotePrefix="0" xfId="1">
      <alignment horizontal="center" vertical="center"/>
    </xf>
    <xf numFmtId="169" fontId="9" fillId="8" borderId="7" applyAlignment="1" pivotButton="0" quotePrefix="0" xfId="1">
      <alignment horizontal="center" vertical="center"/>
    </xf>
    <xf numFmtId="169" fontId="9" fillId="8" borderId="0" applyAlignment="1" pivotButton="0" quotePrefix="0" xfId="1">
      <alignment horizontal="center" vertical="center"/>
    </xf>
    <xf numFmtId="166" fontId="10" fillId="8" borderId="8" applyAlignment="1" pivotButton="0" quotePrefix="0" xfId="1">
      <alignment horizontal="center" vertical="center"/>
    </xf>
    <xf numFmtId="165" fontId="1" fillId="8" borderId="0" applyAlignment="1" pivotButton="0" quotePrefix="0" xfId="1">
      <alignment horizontal="center" vertical="center"/>
    </xf>
    <xf numFmtId="168" fontId="1" fillId="8" borderId="0" applyAlignment="1" pivotButton="0" quotePrefix="0" xfId="1">
      <alignment horizontal="center" vertical="center"/>
    </xf>
    <xf numFmtId="167" fontId="5" fillId="2" borderId="0" applyAlignment="1" pivotButton="0" quotePrefix="0" xfId="1">
      <alignment horizontal="center" vertical="center"/>
    </xf>
    <xf numFmtId="170" fontId="5" fillId="2" borderId="2" applyAlignment="1" pivotButton="0" quotePrefix="0" xfId="1">
      <alignment horizontal="center" vertical="center"/>
    </xf>
    <xf numFmtId="169" fontId="1" fillId="8" borderId="7" applyAlignment="1" pivotButton="0" quotePrefix="0" xfId="1">
      <alignment horizontal="center" vertical="center"/>
    </xf>
    <xf numFmtId="169" fontId="1" fillId="8" borderId="0" applyAlignment="1" pivotButton="0" quotePrefix="0" xfId="1">
      <alignment horizontal="center" vertical="center"/>
    </xf>
    <xf numFmtId="166" fontId="5" fillId="8" borderId="8" applyAlignment="1" pivotButton="0" quotePrefix="0" xfId="1">
      <alignment horizontal="center" vertical="center"/>
    </xf>
    <xf numFmtId="165" fontId="1" fillId="6" borderId="0" applyAlignment="1" pivotButton="0" quotePrefix="0" xfId="1">
      <alignment horizontal="center" vertical="center"/>
    </xf>
    <xf numFmtId="168" fontId="1" fillId="6" borderId="0" applyAlignment="1" pivotButton="0" quotePrefix="0" xfId="1">
      <alignment horizontal="center" vertical="center"/>
    </xf>
    <xf numFmtId="167" fontId="5" fillId="6" borderId="0" applyAlignment="1" pivotButton="0" quotePrefix="0" xfId="1">
      <alignment horizontal="center" vertical="center"/>
    </xf>
    <xf numFmtId="170" fontId="5" fillId="6" borderId="2" applyAlignment="1" pivotButton="0" quotePrefix="0" xfId="1">
      <alignment horizontal="center" vertical="center"/>
    </xf>
    <xf numFmtId="169" fontId="1" fillId="6" borderId="7" applyAlignment="1" pivotButton="0" quotePrefix="0" xfId="1">
      <alignment horizontal="center" vertical="center"/>
    </xf>
    <xf numFmtId="169" fontId="1" fillId="6" borderId="0" applyAlignment="1" pivotButton="0" quotePrefix="0" xfId="1">
      <alignment horizontal="center" vertical="center"/>
    </xf>
    <xf numFmtId="166" fontId="5" fillId="6" borderId="8" applyAlignment="1" pivotButton="0" quotePrefix="0" xfId="1">
      <alignment horizontal="center" vertical="center"/>
    </xf>
    <xf numFmtId="165" fontId="9" fillId="7" borderId="0" applyAlignment="1" pivotButton="0" quotePrefix="0" xfId="1">
      <alignment horizontal="center" vertical="center"/>
    </xf>
    <xf numFmtId="168" fontId="9" fillId="7" borderId="0" applyAlignment="1" pivotButton="0" quotePrefix="0" xfId="1">
      <alignment horizontal="center" vertical="center"/>
    </xf>
    <xf numFmtId="167" fontId="10" fillId="7" borderId="0" applyAlignment="1" pivotButton="0" quotePrefix="0" xfId="1">
      <alignment horizontal="center" vertical="center"/>
    </xf>
    <xf numFmtId="170" fontId="10" fillId="7" borderId="2" applyAlignment="1" pivotButton="0" quotePrefix="0" xfId="1">
      <alignment horizontal="center" vertical="center"/>
    </xf>
    <xf numFmtId="169" fontId="9" fillId="7" borderId="7" applyAlignment="1" pivotButton="0" quotePrefix="0" xfId="1">
      <alignment horizontal="center" vertical="center"/>
    </xf>
    <xf numFmtId="169" fontId="9" fillId="7" borderId="0" applyAlignment="1" pivotButton="0" quotePrefix="0" xfId="1">
      <alignment horizontal="center" vertical="center"/>
    </xf>
    <xf numFmtId="166" fontId="10" fillId="7" borderId="8" applyAlignment="1" pivotButton="0" quotePrefix="0" xfId="1">
      <alignment horizontal="center" vertical="center"/>
    </xf>
    <xf numFmtId="165" fontId="12" fillId="7" borderId="0" applyAlignment="1" pivotButton="0" quotePrefix="0" xfId="1">
      <alignment horizontal="center" vertical="center"/>
    </xf>
    <xf numFmtId="168" fontId="12" fillId="7" borderId="0" applyAlignment="1" pivotButton="0" quotePrefix="0" xfId="1">
      <alignment horizontal="center" vertical="center"/>
    </xf>
    <xf numFmtId="167" fontId="13" fillId="7" borderId="0" applyAlignment="1" pivotButton="0" quotePrefix="0" xfId="1">
      <alignment horizontal="center" vertical="center"/>
    </xf>
    <xf numFmtId="170" fontId="13" fillId="7" borderId="2" applyAlignment="1" pivotButton="0" quotePrefix="0" xfId="1">
      <alignment horizontal="center" vertical="center"/>
    </xf>
    <xf numFmtId="169" fontId="12" fillId="7" borderId="7" applyAlignment="1" pivotButton="0" quotePrefix="0" xfId="1">
      <alignment horizontal="center" vertical="center"/>
    </xf>
    <xf numFmtId="169" fontId="12" fillId="7" borderId="0" applyAlignment="1" pivotButton="0" quotePrefix="0" xfId="1">
      <alignment horizontal="center" vertical="center"/>
    </xf>
    <xf numFmtId="166" fontId="13" fillId="7" borderId="8" applyAlignment="1" pivotButton="0" quotePrefix="0" xfId="1">
      <alignment horizontal="center" vertical="center"/>
    </xf>
    <xf numFmtId="170" fontId="5" fillId="2" borderId="3" applyAlignment="1" pivotButton="0" quotePrefix="0" xfId="1">
      <alignment horizontal="center" vertical="center"/>
    </xf>
    <xf numFmtId="169" fontId="1" fillId="8" borderId="9" applyAlignment="1" pivotButton="0" quotePrefix="0" xfId="1">
      <alignment horizontal="center" vertical="center"/>
    </xf>
    <xf numFmtId="169" fontId="1" fillId="8" borderId="10" applyAlignment="1" pivotButton="0" quotePrefix="0" xfId="1">
      <alignment horizontal="center" vertical="center"/>
    </xf>
    <xf numFmtId="166" fontId="5" fillId="8" borderId="11" applyAlignment="1" pivotButton="0" quotePrefix="0" xfId="1">
      <alignment horizontal="center" vertical="center"/>
    </xf>
    <xf numFmtId="165" fontId="1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6" fontId="4" fillId="0" borderId="0" applyAlignment="1" pivotButton="0" quotePrefix="0" xfId="1">
      <alignment vertical="center"/>
    </xf>
    <xf numFmtId="167" fontId="4" fillId="0" borderId="0" applyAlignment="1" pivotButton="0" quotePrefix="0" xfId="1">
      <alignment vertical="center"/>
    </xf>
  </cellXfs>
  <cellStyles count="2">
    <cellStyle name="표준" xfId="0" builtinId="0"/>
    <cellStyle name="Normal" xfId="1"/>
  </cellStyles>
  <dxfs count="19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  <border>
        <left/>
        <right style="medium">
          <color indexed="64"/>
        </right>
        <top/>
        <bottom/>
        <vertical/>
        <horizontal/>
      </border>
    </dxf>
    <dxf>
      <alignment horizontal="center" vertical="center"/>
    </dxf>
    <dxf>
      <alignment horizontal="center" vertical="center"/>
      <border>
        <left style="medium">
          <color indexed="64"/>
        </left>
        <right/>
        <top/>
        <bottom/>
        <vertical/>
        <horizontal/>
      </border>
    </dxf>
    <dxf>
      <font>
        <name val="NanumGothic"/>
        <strike val="0"/>
        <outline val="0"/>
        <shadow val="0"/>
        <condense val="0"/>
        <color rgb="FF000000"/>
        <extend val="0"/>
        <sz val="10"/>
        <vertAlign val="baseline"/>
      </font>
      <numFmt numFmtId="182" formatCode="0.0%;\(0.0%\);\-"/>
      <fill>
        <patternFill patternType="solid">
          <fgColor indexed="64"/>
          <bgColor rgb="FFFFF2CC"/>
        </patternFill>
      </fill>
      <alignment horizontal="center" vertical="center"/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/>
    </dxf>
    <dxf>
      <font>
        <name val="NanumGothic"/>
        <strike val="0"/>
        <outline val="0"/>
        <shadow val="0"/>
        <condense val="0"/>
        <color rgb="FF000000"/>
        <extend val="0"/>
        <sz val="10"/>
        <vertAlign val="baseline"/>
      </font>
      <numFmt numFmtId="181" formatCode="#,##0.0;\(#,##0.0\);\-"/>
      <fill>
        <patternFill patternType="solid">
          <fgColor indexed="64"/>
          <bgColor rgb="FFFFF2CC"/>
        </patternFill>
      </fill>
      <alignment horizontal="center" vertical="center"/>
    </dxf>
    <dxf>
      <font>
        <name val="NanumGothic"/>
        <strike val="0"/>
        <outline val="0"/>
        <shadow val="0"/>
        <condense val="0"/>
        <color rgb="FF000000"/>
        <extend val="0"/>
        <sz val="10"/>
        <vertAlign val="baseline"/>
      </font>
      <numFmt numFmtId="182" formatCode="0.0%;\(0.0%\);\-"/>
      <fill>
        <patternFill patternType="solid">
          <fgColor indexed="64"/>
          <bgColor rgb="FFFFF2CC"/>
        </patternFill>
      </fill>
      <alignment horizontal="center" vertical="center"/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/>
    </dxf>
    <dxf>
      <font>
        <name val="NanumGothic"/>
        <strike val="0"/>
        <outline val="0"/>
        <shadow val="0"/>
        <condense val="0"/>
        <color rgb="FF000000"/>
        <extend val="0"/>
        <sz val="10"/>
        <vertAlign val="baseline"/>
      </font>
      <numFmt numFmtId="181" formatCode="#,##0.0;\(#,##0.0\);\-"/>
      <fill>
        <patternFill patternType="solid">
          <fgColor indexed="64"/>
          <bgColor rgb="FFFFF2CC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aluationTable" displayName="ValuationTable" ref="A9:Q142" headerRowCount="1" totalsRowShown="0" headerRowDxfId="18" dataDxfId="17">
  <sortState ref="A10:Q99">
    <sortCondition descending="1" ref="H9:H99"/>
  </sortState>
  <tableColumns count="17">
    <tableColumn id="1" name="순위" dataDxfId="16"/>
    <tableColumn id="2" name="종목" dataDxfId="15"/>
    <tableColumn id="3" name="코드" dataDxfId="14"/>
    <tableColumn id="4" name="10/15 종가" dataDxfId="13"/>
    <tableColumn id="5" name="시가총액" dataDxfId="12"/>
    <tableColumn id="14" name="26E 순이익" dataDxfId="11" dataCellStyle="Normal"/>
    <tableColumn id="6" name="27E 순이익" dataDxfId="10"/>
    <tableColumn id="15" name="27E 순이익 YoY" dataDxfId="9" dataCellStyle="Normal">
      <calculatedColumnFormula>IF(AND(ISNUMBER(F10),ISNUMBER(G10)),IF(F10=0,IF(G10&gt;0,"흑자전환",IF(G10=0,"손익분기","미확인")),IF(F10&lt;0,IF(G10&gt;0,"흑자전환",IF(G10=0,"손익분기","적자지속")),IF(G10&lt;0,"적자전환",IF(G10=0,-1,G10/F10-1)))),"미확인")</calculatedColumnFormula>
    </tableColumn>
    <tableColumn id="16" name="26E 영업이익" dataDxfId="8" dataCellStyle="Normal"/>
    <tableColumn id="7" name="27E 영업이익" dataDxfId="7"/>
    <tableColumn id="17" name="27E 영업이익 YoY" dataDxfId="6" dataCellStyle="Normal">
      <calculatedColumnFormula>IF(AND(ISNUMBER(I10),ISNUMBER(J10)),IF(I10=0,IF(J10&gt;0,"흑자전환",IF(J10=0,"손익분기","미확인")),IF(I10&lt;0,IF(J10&gt;0,"흑자전환",IF(J10=0,"손익분기","적자지속")),IF(J10&lt;0,"적자전환",IF(J10=0,-1,J10/I10-1)))),"미확인")</calculatedColumnFormula>
    </tableColumn>
    <tableColumn id="8" name="27E PER" dataDxfId="5"/>
    <tableColumn id="9" name="27E POR" dataDxfId="4"/>
    <tableColumn id="10" name="27E ROE" dataDxfId="3"/>
    <tableColumn id="11" name="원표 PER" dataDxfId="2"/>
    <tableColumn id="12" name="원표 POR" dataDxfId="1"/>
    <tableColumn id="13" name="구분 / 순이익 기준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Table" displayName="SourceTable" ref="A9:X142" headerRowCount="1" totalsRowShown="0">
  <tableColumns count="24">
    <tableColumn id="1" name="종목"/>
    <tableColumn id="2" name="코드"/>
    <tableColumn id="3" name="원표 시총"/>
    <tableColumn id="4" name="27E 순이익"/>
    <tableColumn id="5" name="27E 영업이익"/>
    <tableColumn id="6" name="원표 PER"/>
    <tableColumn id="7" name="원표 POR"/>
    <tableColumn id="8" name="†"/>
    <tableColumn id="9" name="10/15 종가"/>
    <tableColumn id="10" name="상장주식 수"/>
    <tableColumn id="11" name="주가 기준"/>
    <tableColumn id="12" name="실적 출처"/>
    <tableColumn id="13" name="시세 출처"/>
    <tableColumn id="14" name="종가 확인 출처"/>
    <tableColumn id="15" name="27E ROE"/>
    <tableColumn id="16" name="ROE 재무기준"/>
    <tableColumn id="17" name="ROE 기준일"/>
    <tableColumn id="18" name="ROE 출처"/>
    <tableColumn id="19" name="ROE 재검토 결과 (10/15)"/>
    <tableColumn id="20" name="26E 순이익 (억원)"/>
    <tableColumn id="21" name="26E 영업이익 (억원)"/>
    <tableColumn id="22" name="26E 회계기준"/>
    <tableColumn id="23" name="26E 출처 (10/14)"/>
    <tableColumn id="24" name="27E 추정치 교차점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2"/>
  <sheetViews>
    <sheetView showGridLines="0" tabSelected="1" workbookViewId="0">
      <pane xSplit="2" ySplit="9" topLeftCell="C52" activePane="bottomRight" state="frozen"/>
      <selection pane="topRight" activeCell="A1" sqref="A1"/>
      <selection pane="bottomLeft" activeCell="A1" sqref="A1"/>
      <selection pane="bottomRight" activeCell="L66" sqref="L66"/>
    </sheetView>
  </sheetViews>
  <sheetFormatPr baseColWidth="8" defaultRowHeight="14.25"/>
  <cols>
    <col width="7" customWidth="1" min="1" max="1"/>
    <col width="23" customWidth="1" min="2" max="2"/>
    <col width="10" customWidth="1" min="3" max="3"/>
    <col width="14" customWidth="1" min="4" max="12"/>
    <col width="26" customWidth="1" min="13" max="13"/>
    <col width="18" customWidth="1" min="14" max="17"/>
  </cols>
  <sheetData>
    <row r="1" ht="21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.95" customHeight="1">
      <c r="A2" s="2" t="inlineStr">
        <is>
          <t>반도체·전자부품 90종목 2027년 밸류에이션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21.95" customHeight="1">
      <c r="A3" s="1" t="inlineStr">
        <is>
          <t>주가: 2026-10-15 KRX 정규장 종가(KST). 금액: 억원, 주가: 원, 배수: 배.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21.95" customHeight="1">
      <c r="A4" s="1" t="inlineStr">
        <is>
          <t>기존표 27E 추정치 유지 (기존 83종목 10/10, 추가 7종목 10/14). 26E 추정치는 FnGuide 10/14 컨센서스. YoY = 기존표 27E ÷ FnGuide 26E - 1.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21.95" customHeight="1">
      <c r="A5" s="1" t="inlineStr">
        <is>
          <t>PER = 보통주 시가총액 / 27E 순이익. POR = 보통주 시가총액 / 27E 영업이익. 시총 = 10/15 종가 × 상장주식 수.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21.95" customHeight="1">
      <c r="A6" s="1" t="inlineStr">
        <is>
          <t>† 원표의 연결순이익·지배순이익 차이 5% 초과 표시 유지. 기존 순이익의 회계기준은 원표 기준으로 통일하지 않음.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 ht="21.95" customHeight="1">
      <c r="A7" s="1" t="inlineStr">
        <is>
          <t>마이크로컨텍솔·테크윙·제우스: 2027년 컨센서스 공란으로 PER·POR 미산출. 임의 추정 미적용.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 ht="21.95" customHeight="1" thickBot="1">
      <c r="A8" s="1" t="inlineStr">
        <is>
          <t>시가총액 방식은 EPS 방식과 다를 수 있음. YoY의 26E/27E 출처 기준이 다르며, 27E 교차점검 차이는 원자료 X열. 26E 적자·0은 백분율 대신 흑자전환·적자지속 등으로 표기.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inlineStr">
        <is>
          <t>10/14 기준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 ht="30" customHeight="1">
      <c r="A9" s="10" t="inlineStr">
        <is>
          <t>순위</t>
        </is>
      </c>
      <c r="B9" s="10" t="inlineStr">
        <is>
          <t>종목</t>
        </is>
      </c>
      <c r="C9" s="10" t="inlineStr">
        <is>
          <t>코드</t>
        </is>
      </c>
      <c r="D9" s="10" t="inlineStr">
        <is>
          <t>10/15 종가</t>
        </is>
      </c>
      <c r="E9" s="10" t="inlineStr">
        <is>
          <t>시가총액</t>
        </is>
      </c>
      <c r="F9" s="16" t="inlineStr">
        <is>
          <t>26E 순이익</t>
        </is>
      </c>
      <c r="G9" s="10" t="inlineStr">
        <is>
          <t>27E 순이익</t>
        </is>
      </c>
      <c r="H9" s="34" t="inlineStr">
        <is>
          <t>27E 순이익 YoY</t>
        </is>
      </c>
      <c r="I9" s="16" t="inlineStr">
        <is>
          <t>26E 영업이익</t>
        </is>
      </c>
      <c r="J9" s="10" t="inlineStr">
        <is>
          <t>27E 영업이익</t>
        </is>
      </c>
      <c r="K9" s="34" t="inlineStr">
        <is>
          <t>27E 영업이익 YoY</t>
        </is>
      </c>
      <c r="L9" s="39" t="inlineStr">
        <is>
          <t>27E PER</t>
        </is>
      </c>
      <c r="M9" s="40" t="inlineStr">
        <is>
          <t>27E POR</t>
        </is>
      </c>
      <c r="N9" s="41" t="inlineStr">
        <is>
          <t>27E ROE</t>
        </is>
      </c>
      <c r="O9" s="10" t="inlineStr">
        <is>
          <t>원표 PER</t>
        </is>
      </c>
      <c r="P9" s="10" t="inlineStr">
        <is>
          <t>원표 POR</t>
        </is>
      </c>
      <c r="Q9" s="10" t="inlineStr">
        <is>
          <t>구분 / 순이익 기준</t>
        </is>
      </c>
      <c r="R9" s="1" t="n"/>
      <c r="S9" s="1" t="n"/>
    </row>
    <row r="10" ht="21.95" customHeight="1">
      <c r="A10" s="51" t="n">
        <v>55</v>
      </c>
      <c r="B10" s="68" t="inlineStr">
        <is>
          <t>세미파이브</t>
        </is>
      </c>
      <c r="C10" s="84" t="inlineStr">
        <is>
          <t>490470</t>
        </is>
      </c>
      <c r="D10" s="85">
        <f>원자료!I67</f>
        <v/>
      </c>
      <c r="E10" s="85">
        <f>D10*원자료!J67/100000000</f>
        <v/>
      </c>
      <c r="F10" s="86">
        <f>IF(원자료!T67="","미확인",원자료!T67)</f>
        <v/>
      </c>
      <c r="G10" s="85">
        <f>IF(원자료!D67="","미확인",원자료!D67)</f>
        <v/>
      </c>
      <c r="H10" s="87">
        <f>IF(AND(ISNUMBER(F10),ISNUMBER(G10)),IF(F10=0,IF(G10&gt;0,"흑자전환",IF(G10=0,"손익분기","미확인")),IF(F10&lt;0,IF(G10&gt;0,"흑자전환",IF(G10=0,"손익분기","적자지속")),IF(G10&lt;0,"적자전환",IF(G10=0,-1,G10/F10-1)))),"미확인")</f>
        <v/>
      </c>
      <c r="I10" s="86">
        <f>IF(원자료!U67="","미확인",원자료!U67)</f>
        <v/>
      </c>
      <c r="J10" s="85">
        <f>IF(원자료!E67="","미확인",원자료!E67)</f>
        <v/>
      </c>
      <c r="K10" s="87">
        <f>IF(AND(ISNUMBER(I10),ISNUMBER(J10)),IF(I10=0,IF(J10&gt;0,"흑자전환",IF(J10=0,"손익분기","미확인")),IF(I10&lt;0,IF(J10&gt;0,"흑자전환",IF(J10=0,"손익분기","적자지속")),IF(J10&lt;0,"적자전환",IF(J10=0,-1,J10/I10-1)))),"미확인")</f>
        <v/>
      </c>
      <c r="L10" s="88">
        <f>IF(ISNUMBER(G10),IF(G10&gt;0,E10/G10,"적자"),"미산출")</f>
        <v/>
      </c>
      <c r="M10" s="89">
        <f>IF(ISNUMBER(J10),IF(J10&gt;0,E10/J10,"적자"),"미산출")</f>
        <v/>
      </c>
      <c r="N10" s="90">
        <f>IF(원자료!O67="","미확인",원자료!O67)</f>
        <v/>
      </c>
      <c r="O10" s="89" t="n">
        <v>20.4</v>
      </c>
      <c r="P10" s="89" t="n">
        <v>19.2</v>
      </c>
      <c r="Q10" s="68" t="inlineStr">
        <is>
          <t>기존 / 원표 기준</t>
        </is>
      </c>
      <c r="R10" s="1" t="n"/>
      <c r="S10" s="1" t="n"/>
    </row>
    <row r="11" ht="21.95" customHeight="1">
      <c r="A11" s="18" t="n">
        <v>76</v>
      </c>
      <c r="B11" s="24" t="inlineStr">
        <is>
          <t>SFA반도체</t>
        </is>
      </c>
      <c r="C11" s="91" t="inlineStr">
        <is>
          <t>036540</t>
        </is>
      </c>
      <c r="D11" s="92">
        <f>원자료!I83</f>
        <v/>
      </c>
      <c r="E11" s="92">
        <f>D11*원자료!J83/100000000</f>
        <v/>
      </c>
      <c r="F11" s="93">
        <f>IF(원자료!T83="","미확인",원자료!T83)</f>
        <v/>
      </c>
      <c r="G11" s="92">
        <f>IF(원자료!D83="","미확인",원자료!D83)</f>
        <v/>
      </c>
      <c r="H11" s="94">
        <f>IF(AND(ISNUMBER(F11),ISNUMBER(G11)),IF(F11=0,IF(G11&gt;0,"흑자전환",IF(G11=0,"손익분기","미확인")),IF(F11&lt;0,IF(G11&gt;0,"흑자전환",IF(G11=0,"손익분기","적자지속")),IF(G11&lt;0,"적자전환",IF(G11=0,-1,G11/F11-1)))),"미확인")</f>
        <v/>
      </c>
      <c r="I11" s="93">
        <f>IF(원자료!U83="","미확인",원자료!U83)</f>
        <v/>
      </c>
      <c r="J11" s="92">
        <f>IF(원자료!E83="","미확인",원자료!E83)</f>
        <v/>
      </c>
      <c r="K11" s="94">
        <f>IF(AND(ISNUMBER(I11),ISNUMBER(J11)),IF(I11=0,IF(J11&gt;0,"흑자전환",IF(J11=0,"손익분기","미확인")),IF(I11&lt;0,IF(J11&gt;0,"흑자전환",IF(J11=0,"손익분기","적자지속")),IF(J11&lt;0,"적자전환",IF(J11=0,-1,J11/I11-1)))),"미확인")</f>
        <v/>
      </c>
      <c r="L11" s="95">
        <f>IF(ISNUMBER(G11),IF(G11&gt;0,E11/G11,"적자"),"미산출")</f>
        <v/>
      </c>
      <c r="M11" s="96">
        <f>IF(ISNUMBER(J11),IF(J11&gt;0,E11/J11,"적자"),"미산출")</f>
        <v/>
      </c>
      <c r="N11" s="97">
        <f>IF(원자료!O83="","미확인",원자료!O83)</f>
        <v/>
      </c>
      <c r="O11" s="96" t="n">
        <v>28.2</v>
      </c>
      <c r="P11" s="96" t="n">
        <v>22.4</v>
      </c>
      <c r="Q11" s="24" t="inlineStr">
        <is>
          <t>기존 / 원표 기준</t>
        </is>
      </c>
      <c r="R11" s="1" t="n"/>
      <c r="S11" s="1" t="n"/>
    </row>
    <row r="12" ht="21.95" customHeight="1">
      <c r="A12" s="18" t="n">
        <v>86</v>
      </c>
      <c r="B12" s="24" t="inlineStr">
        <is>
          <t>한미반도체</t>
        </is>
      </c>
      <c r="C12" s="91" t="inlineStr">
        <is>
          <t>042700</t>
        </is>
      </c>
      <c r="D12" s="92">
        <f>원자료!I91</f>
        <v/>
      </c>
      <c r="E12" s="92">
        <f>D12*원자료!J91/100000000</f>
        <v/>
      </c>
      <c r="F12" s="93">
        <f>IF(원자료!T91="","미확인",원자료!T91)</f>
        <v/>
      </c>
      <c r="G12" s="92">
        <f>IF(원자료!D91="","미확인",원자료!D91)</f>
        <v/>
      </c>
      <c r="H12" s="94">
        <f>IF(AND(ISNUMBER(F12),ISNUMBER(G12)),IF(F12=0,IF(G12&gt;0,"흑자전환",IF(G12=0,"손익분기","미확인")),IF(F12&lt;0,IF(G12&gt;0,"흑자전환",IF(G12=0,"손익분기","적자지속")),IF(G12&lt;0,"적자전환",IF(G12=0,-1,G12/F12-1)))),"미확인")</f>
        <v/>
      </c>
      <c r="I12" s="93">
        <f>IF(원자료!U91="","미확인",원자료!U91)</f>
        <v/>
      </c>
      <c r="J12" s="92">
        <f>IF(원자료!E91="","미확인",원자료!E91)</f>
        <v/>
      </c>
      <c r="K12" s="94">
        <f>IF(AND(ISNUMBER(I12),ISNUMBER(J12)),IF(I12=0,IF(J12&gt;0,"흑자전환",IF(J12=0,"손익분기","미확인")),IF(I12&lt;0,IF(J12&gt;0,"흑자전환",IF(J12=0,"손익분기","적자지속")),IF(J12&lt;0,"적자전환",IF(J12=0,-1,J12/I12-1)))),"미확인")</f>
        <v/>
      </c>
      <c r="L12" s="95">
        <f>IF(ISNUMBER(G12),IF(G12&gt;0,E12/G12,"적자"),"미산출")</f>
        <v/>
      </c>
      <c r="M12" s="96">
        <f>IF(ISNUMBER(J12),IF(J12&gt;0,E12/J12,"적자"),"미산출")</f>
        <v/>
      </c>
      <c r="N12" s="97">
        <f>IF(원자료!O91="","미확인",원자료!O91)</f>
        <v/>
      </c>
      <c r="O12" s="96" t="n">
        <v>46.2</v>
      </c>
      <c r="P12" s="96" t="n">
        <v>42.2</v>
      </c>
      <c r="Q12" s="24" t="inlineStr">
        <is>
          <t>기존 / 원표 기준</t>
        </is>
      </c>
      <c r="R12" s="1" t="n"/>
      <c r="S12" s="1" t="n"/>
    </row>
    <row r="13" ht="21.95" customHeight="1">
      <c r="A13" s="51" t="n">
        <v>88</v>
      </c>
      <c r="B13" s="69" t="inlineStr">
        <is>
          <t>마이크로컨텍솔</t>
        </is>
      </c>
      <c r="C13" s="98" t="inlineStr">
        <is>
          <t>098120</t>
        </is>
      </c>
      <c r="D13" s="99">
        <f>원자료!I93</f>
        <v/>
      </c>
      <c r="E13" s="99">
        <f>D13*원자료!J93/100000000</f>
        <v/>
      </c>
      <c r="F13" s="100">
        <f>IF(원자료!T93="","미확인",원자료!T93)</f>
        <v/>
      </c>
      <c r="G13" s="99">
        <f>IF(원자료!D93="","미확인",원자료!D93)</f>
        <v/>
      </c>
      <c r="H13" s="101">
        <f>IF(AND(ISNUMBER(F13),ISNUMBER(G13)),IF(F13=0,IF(G13&gt;0,"흑자전환",IF(G13=0,"손익분기","미확인")),IF(F13&lt;0,IF(G13&gt;0,"흑자전환",IF(G13=0,"손익분기","적자지속")),IF(G13&lt;0,"적자전환",IF(G13=0,-1,G13/F13-1)))),"미확인")</f>
        <v/>
      </c>
      <c r="I13" s="100">
        <f>IF(원자료!U93="","미확인",원자료!U93)</f>
        <v/>
      </c>
      <c r="J13" s="99">
        <f>IF(원자료!E93="","미확인",원자료!E93)</f>
        <v/>
      </c>
      <c r="K13" s="101">
        <f>IF(AND(ISNUMBER(I13),ISNUMBER(J13)),IF(I13=0,IF(J13&gt;0,"흑자전환",IF(J13=0,"손익분기","미확인")),IF(I13&lt;0,IF(J13&gt;0,"흑자전환",IF(J13=0,"손익분기","적자지속")),IF(J13&lt;0,"적자전환",IF(J13=0,-1,J13/I13-1)))),"미확인")</f>
        <v/>
      </c>
      <c r="L13" s="102">
        <f>IF(ISNUMBER(G13),IF(G13&gt;0,E13/G13,"적자"),"미산출")</f>
        <v/>
      </c>
      <c r="M13" s="103">
        <f>IF(ISNUMBER(J13),IF(J13&gt;0,E13/J13,"적자"),"미산출")</f>
        <v/>
      </c>
      <c r="N13" s="104">
        <f>IF(원자료!O93="","미확인",원자료!O93)</f>
        <v/>
      </c>
      <c r="O13" s="103" t="n"/>
      <c r="P13" s="103" t="n"/>
      <c r="Q13" s="69" t="inlineStr">
        <is>
          <t>추가 / 컨센서스 없음</t>
        </is>
      </c>
      <c r="R13" s="1" t="n"/>
      <c r="S13" s="1" t="n"/>
    </row>
    <row r="14" ht="21.95" customHeight="1">
      <c r="A14" s="18" t="n">
        <v>89</v>
      </c>
      <c r="B14" s="29" t="inlineStr">
        <is>
          <t>테크윙</t>
        </is>
      </c>
      <c r="C14" s="105" t="inlineStr">
        <is>
          <t>089030</t>
        </is>
      </c>
      <c r="D14" s="106">
        <f>원자료!I98</f>
        <v/>
      </c>
      <c r="E14" s="106">
        <f>D14*원자료!J98/100000000</f>
        <v/>
      </c>
      <c r="F14" s="107">
        <f>IF(원자료!T98="","미확인",원자료!T98)</f>
        <v/>
      </c>
      <c r="G14" s="106">
        <f>IF(원자료!D98="","미확인",원자료!D98)</f>
        <v/>
      </c>
      <c r="H14" s="108">
        <f>IF(AND(ISNUMBER(F14),ISNUMBER(G14)),IF(F14=0,IF(G14&gt;0,"흑자전환",IF(G14=0,"손익분기","미확인")),IF(F14&lt;0,IF(G14&gt;0,"흑자전환",IF(G14=0,"손익분기","적자지속")),IF(G14&lt;0,"적자전환",IF(G14=0,-1,G14/F14-1)))),"미확인")</f>
        <v/>
      </c>
      <c r="I14" s="107">
        <f>IF(원자료!U98="","미확인",원자료!U98)</f>
        <v/>
      </c>
      <c r="J14" s="106">
        <f>IF(원자료!E98="","미확인",원자료!E98)</f>
        <v/>
      </c>
      <c r="K14" s="108">
        <f>IF(AND(ISNUMBER(I14),ISNUMBER(J14)),IF(I14=0,IF(J14&gt;0,"흑자전환",IF(J14=0,"손익분기","미확인")),IF(I14&lt;0,IF(J14&gt;0,"흑자전환",IF(J14=0,"손익분기","적자지속")),IF(J14&lt;0,"적자전환",IF(J14=0,-1,J14/I14-1)))),"미확인")</f>
        <v/>
      </c>
      <c r="L14" s="109">
        <f>IF(ISNUMBER(G14),IF(G14&gt;0,E14/G14,"적자"),"미산출")</f>
        <v/>
      </c>
      <c r="M14" s="110">
        <f>IF(ISNUMBER(J14),IF(J14&gt;0,E14/J14,"적자"),"미산출")</f>
        <v/>
      </c>
      <c r="N14" s="111">
        <f>IF(원자료!O98="","미확인",원자료!O98)</f>
        <v/>
      </c>
      <c r="O14" s="110" t="n"/>
      <c r="P14" s="110" t="n"/>
      <c r="Q14" s="29" t="inlineStr">
        <is>
          <t>추가 / 컨센서스 없음</t>
        </is>
      </c>
      <c r="R14" s="1" t="n"/>
      <c r="S14" s="1" t="n"/>
    </row>
    <row r="15" ht="21.95" customHeight="1">
      <c r="A15" s="18" t="n">
        <v>90</v>
      </c>
      <c r="B15" s="29" t="inlineStr">
        <is>
          <t>제우스</t>
        </is>
      </c>
      <c r="C15" s="105" t="inlineStr">
        <is>
          <t>079370</t>
        </is>
      </c>
      <c r="D15" s="106">
        <f>원자료!I99</f>
        <v/>
      </c>
      <c r="E15" s="106">
        <f>D15*원자료!J99/100000000</f>
        <v/>
      </c>
      <c r="F15" s="107">
        <f>IF(원자료!T99="","미확인",원자료!T99)</f>
        <v/>
      </c>
      <c r="G15" s="106">
        <f>IF(원자료!D99="","미확인",원자료!D99)</f>
        <v/>
      </c>
      <c r="H15" s="108">
        <f>IF(AND(ISNUMBER(F15),ISNUMBER(G15)),IF(F15=0,IF(G15&gt;0,"흑자전환",IF(G15=0,"손익분기","미확인")),IF(F15&lt;0,IF(G15&gt;0,"흑자전환",IF(G15=0,"손익분기","적자지속")),IF(G15&lt;0,"적자전환",IF(G15=0,-1,G15/F15-1)))),"미확인")</f>
        <v/>
      </c>
      <c r="I15" s="107">
        <f>IF(원자료!U99="","미확인",원자료!U99)</f>
        <v/>
      </c>
      <c r="J15" s="106">
        <f>IF(원자료!E99="","미확인",원자료!E99)</f>
        <v/>
      </c>
      <c r="K15" s="108">
        <f>IF(AND(ISNUMBER(I15),ISNUMBER(J15)),IF(I15=0,IF(J15&gt;0,"흑자전환",IF(J15=0,"손익분기","미확인")),IF(I15&lt;0,IF(J15&gt;0,"흑자전환",IF(J15=0,"손익분기","적자지속")),IF(J15&lt;0,"적자전환",IF(J15=0,-1,J15/I15-1)))),"미확인")</f>
        <v/>
      </c>
      <c r="L15" s="109">
        <f>IF(ISNUMBER(G15),IF(G15&gt;0,E15/G15,"적자"),"미산출")</f>
        <v/>
      </c>
      <c r="M15" s="110">
        <f>IF(ISNUMBER(J15),IF(J15&gt;0,E15/J15,"적자"),"미산출")</f>
        <v/>
      </c>
      <c r="N15" s="111">
        <f>IF(원자료!O99="","미확인",원자료!O99)</f>
        <v/>
      </c>
      <c r="O15" s="110" t="n"/>
      <c r="P15" s="110" t="n"/>
      <c r="Q15" s="29" t="inlineStr">
        <is>
          <t>추가 / 컨센서스 없음</t>
        </is>
      </c>
      <c r="R15" s="1" t="n"/>
      <c r="S15" s="1" t="n"/>
    </row>
    <row r="16" ht="21.95" customHeight="1">
      <c r="A16" s="18" t="n">
        <v>62</v>
      </c>
      <c r="B16" s="24" t="inlineStr">
        <is>
          <t>사피엔반도체</t>
        </is>
      </c>
      <c r="C16" s="91" t="inlineStr">
        <is>
          <t>452430</t>
        </is>
      </c>
      <c r="D16" s="92">
        <f>원자료!I65</f>
        <v/>
      </c>
      <c r="E16" s="92">
        <f>D16*원자료!J65/100000000</f>
        <v/>
      </c>
      <c r="F16" s="93">
        <f>IF(원자료!T65="","미확인",원자료!T65)</f>
        <v/>
      </c>
      <c r="G16" s="92">
        <f>IF(원자료!D65="","미확인",원자료!D65)</f>
        <v/>
      </c>
      <c r="H16" s="94">
        <f>IF(AND(ISNUMBER(F16),ISNUMBER(G16)),IF(F16=0,IF(G16&gt;0,"흑자전환",IF(G16=0,"손익분기","미확인")),IF(F16&lt;0,IF(G16&gt;0,"흑자전환",IF(G16=0,"손익분기","적자지속")),IF(G16&lt;0,"적자전환",IF(G16=0,-1,G16/F16-1)))),"미확인")</f>
        <v/>
      </c>
      <c r="I16" s="93">
        <f>IF(원자료!U65="","미확인",원자료!U65)</f>
        <v/>
      </c>
      <c r="J16" s="92">
        <f>IF(원자료!E65="","미확인",원자료!E65)</f>
        <v/>
      </c>
      <c r="K16" s="94">
        <f>IF(AND(ISNUMBER(I16),ISNUMBER(J16)),IF(I16=0,IF(J16&gt;0,"흑자전환",IF(J16=0,"손익분기","미확인")),IF(I16&lt;0,IF(J16&gt;0,"흑자전환",IF(J16=0,"손익분기","적자지속")),IF(J16&lt;0,"적자전환",IF(J16=0,-1,J16/I16-1)))),"미확인")</f>
        <v/>
      </c>
      <c r="L16" s="95">
        <f>IF(ISNUMBER(G16),IF(G16&gt;0,E16/G16,"적자"),"미산출")</f>
        <v/>
      </c>
      <c r="M16" s="96">
        <f>IF(ISNUMBER(J16),IF(J16&gt;0,E16/J16,"적자"),"미산출")</f>
        <v/>
      </c>
      <c r="N16" s="97">
        <f>IF(원자료!O65="","미확인",원자료!O65)</f>
        <v/>
      </c>
      <c r="O16" s="96" t="n">
        <v>20.1</v>
      </c>
      <c r="P16" s="96" t="n">
        <v>20.1</v>
      </c>
      <c r="Q16" s="24" t="inlineStr">
        <is>
          <t>기존 / 원표 기준</t>
        </is>
      </c>
      <c r="R16" s="1" t="n"/>
      <c r="S16" s="1" t="n"/>
    </row>
    <row r="17" ht="21.95" customHeight="1">
      <c r="A17" s="51" t="n">
        <v>53</v>
      </c>
      <c r="B17" s="60" t="inlineStr">
        <is>
          <t>인텍플러스</t>
        </is>
      </c>
      <c r="C17" s="84" t="inlineStr">
        <is>
          <t>064290</t>
        </is>
      </c>
      <c r="D17" s="85">
        <f>원자료!I56</f>
        <v/>
      </c>
      <c r="E17" s="85">
        <f>D17*원자료!J56/100000000</f>
        <v/>
      </c>
      <c r="F17" s="86">
        <f>IF(원자료!T56="","미확인",원자료!T56)</f>
        <v/>
      </c>
      <c r="G17" s="85">
        <f>IF(원자료!D56="","미확인",원자료!D56)</f>
        <v/>
      </c>
      <c r="H17" s="87">
        <f>IF(AND(ISNUMBER(F17),ISNUMBER(G17)),IF(F17=0,IF(G17&gt;0,"흑자전환",IF(G17=0,"손익분기","미확인")),IF(F17&lt;0,IF(G17&gt;0,"흑자전환",IF(G17=0,"손익분기","적자지속")),IF(G17&lt;0,"적자전환",IF(G17=0,-1,G17/F17-1)))),"미확인")</f>
        <v/>
      </c>
      <c r="I17" s="86">
        <f>IF(원자료!U56="","미확인",원자료!U56)</f>
        <v/>
      </c>
      <c r="J17" s="85">
        <f>IF(원자료!E56="","미확인",원자료!E56)</f>
        <v/>
      </c>
      <c r="K17" s="87">
        <f>IF(AND(ISNUMBER(I17),ISNUMBER(J17)),IF(I17=0,IF(J17&gt;0,"흑자전환",IF(J17=0,"손익분기","미확인")),IF(I17&lt;0,IF(J17&gt;0,"흑자전환",IF(J17=0,"손익분기","적자지속")),IF(J17&lt;0,"적자전환",IF(J17=0,-1,J17/I17-1)))),"미확인")</f>
        <v/>
      </c>
      <c r="L17" s="88">
        <f>IF(ISNUMBER(G17),IF(G17&gt;0,E17/G17,"적자"),"미산출")</f>
        <v/>
      </c>
      <c r="M17" s="89">
        <f>IF(ISNUMBER(J17),IF(J17&gt;0,E17/J17,"적자"),"미산출")</f>
        <v/>
      </c>
      <c r="N17" s="90">
        <f>IF(원자료!O56="","미확인",원자료!O56)</f>
        <v/>
      </c>
      <c r="O17" s="89" t="n">
        <v>16.5</v>
      </c>
      <c r="P17" s="89" t="n">
        <v>13.7</v>
      </c>
      <c r="Q17" s="60" t="inlineStr">
        <is>
          <t>기존 / 원표 기준</t>
        </is>
      </c>
      <c r="R17" s="1" t="n"/>
      <c r="S17" s="1" t="n"/>
    </row>
    <row r="18" ht="21.95" customHeight="1">
      <c r="A18" s="18" t="n">
        <v>25</v>
      </c>
      <c r="B18" s="19" t="inlineStr">
        <is>
          <t>피엠티</t>
        </is>
      </c>
      <c r="C18" s="112" t="inlineStr">
        <is>
          <t>147760</t>
        </is>
      </c>
      <c r="D18" s="113">
        <f>원자료!I37</f>
        <v/>
      </c>
      <c r="E18" s="113">
        <f>D18*원자료!J37/100000000</f>
        <v/>
      </c>
      <c r="F18" s="114">
        <f>IF(원자료!T37="","미확인",원자료!T37)</f>
        <v/>
      </c>
      <c r="G18" s="113">
        <f>IF(원자료!D37="","미확인",원자료!D37)</f>
        <v/>
      </c>
      <c r="H18" s="115">
        <f>IF(AND(ISNUMBER(F18),ISNUMBER(G18)),IF(F18=0,IF(G18&gt;0,"흑자전환",IF(G18=0,"손익분기","미확인")),IF(F18&lt;0,IF(G18&gt;0,"흑자전환",IF(G18=0,"손익분기","적자지속")),IF(G18&lt;0,"적자전환",IF(G18=0,-1,G18/F18-1)))),"미확인")</f>
        <v/>
      </c>
      <c r="I18" s="114">
        <f>IF(원자료!U37="","미확인",원자료!U37)</f>
        <v/>
      </c>
      <c r="J18" s="113">
        <f>IF(원자료!E37="","미확인",원자료!E37)</f>
        <v/>
      </c>
      <c r="K18" s="115">
        <f>IF(AND(ISNUMBER(I18),ISNUMBER(J18)),IF(I18=0,IF(J18&gt;0,"흑자전환",IF(J18=0,"손익분기","미확인")),IF(I18&lt;0,IF(J18&gt;0,"흑자전환",IF(J18=0,"손익분기","적자지속")),IF(J18&lt;0,"적자전환",IF(J18=0,-1,J18/I18-1)))),"미확인")</f>
        <v/>
      </c>
      <c r="L18" s="116">
        <f>IF(ISNUMBER(G18),IF(G18&gt;0,E18/G18,"적자"),"미산출")</f>
        <v/>
      </c>
      <c r="M18" s="117">
        <f>IF(ISNUMBER(J18),IF(J18&gt;0,E18/J18,"적자"),"미산출")</f>
        <v/>
      </c>
      <c r="N18" s="118">
        <f>IF(원자료!O37="","미확인",원자료!O37)</f>
        <v/>
      </c>
      <c r="O18" s="117" t="n">
        <v>12.3</v>
      </c>
      <c r="P18" s="117" t="n">
        <v>11</v>
      </c>
      <c r="Q18" s="19" t="inlineStr">
        <is>
          <t>기존 / 원표 기준</t>
        </is>
      </c>
      <c r="R18" s="1" t="n"/>
      <c r="S18" s="1" t="n"/>
    </row>
    <row r="19" ht="21.95" customHeight="1">
      <c r="A19" s="18" t="n">
        <v>12</v>
      </c>
      <c r="B19" s="24" t="inlineStr">
        <is>
          <t>텔레칩스</t>
        </is>
      </c>
      <c r="C19" s="91" t="inlineStr">
        <is>
          <t>054450</t>
        </is>
      </c>
      <c r="D19" s="92">
        <f>원자료!I21</f>
        <v/>
      </c>
      <c r="E19" s="92">
        <f>D19*원자료!J21/100000000</f>
        <v/>
      </c>
      <c r="F19" s="93">
        <f>IF(원자료!T21="","미확인",원자료!T21)</f>
        <v/>
      </c>
      <c r="G19" s="92">
        <f>IF(원자료!D21="","미확인",원자료!D21)</f>
        <v/>
      </c>
      <c r="H19" s="94">
        <f>IF(AND(ISNUMBER(F19),ISNUMBER(G19)),IF(F19=0,IF(G19&gt;0,"흑자전환",IF(G19=0,"손익분기","미확인")),IF(F19&lt;0,IF(G19&gt;0,"흑자전환",IF(G19=0,"손익분기","적자지속")),IF(G19&lt;0,"적자전환",IF(G19=0,-1,G19/F19-1)))),"미확인")</f>
        <v/>
      </c>
      <c r="I19" s="93">
        <f>IF(원자료!U21="","미확인",원자료!U21)</f>
        <v/>
      </c>
      <c r="J19" s="92">
        <f>IF(원자료!E21="","미확인",원자료!E21)</f>
        <v/>
      </c>
      <c r="K19" s="94">
        <f>IF(AND(ISNUMBER(I19),ISNUMBER(J19)),IF(I19=0,IF(J19&gt;0,"흑자전환",IF(J19=0,"손익분기","미확인")),IF(I19&lt;0,IF(J19&gt;0,"흑자전환",IF(J19=0,"손익분기","적자지속")),IF(J19&lt;0,"적자전환",IF(J19=0,-1,J19/I19-1)))),"미확인")</f>
        <v/>
      </c>
      <c r="L19" s="95">
        <f>IF(ISNUMBER(G19),IF(G19&gt;0,E19/G19,"적자"),"미산출")</f>
        <v/>
      </c>
      <c r="M19" s="96">
        <f>IF(ISNUMBER(J19),IF(J19&gt;0,E19/J19,"적자"),"미산출")</f>
        <v/>
      </c>
      <c r="N19" s="97">
        <f>IF(원자료!O21="","미확인",원자료!O21)</f>
        <v/>
      </c>
      <c r="O19" s="96" t="n">
        <v>8.1</v>
      </c>
      <c r="P19" s="96" t="n">
        <v>6.6</v>
      </c>
      <c r="Q19" s="24" t="inlineStr">
        <is>
          <t>기존 / 원표 기준</t>
        </is>
      </c>
      <c r="R19" s="1" t="n"/>
      <c r="S19" s="1" t="n"/>
    </row>
    <row r="20" ht="21.95" customHeight="1">
      <c r="A20" s="18" t="n">
        <v>37</v>
      </c>
      <c r="B20" s="19" t="inlineStr">
        <is>
          <t>에이디테크놀로지</t>
        </is>
      </c>
      <c r="C20" s="112" t="inlineStr">
        <is>
          <t>200710</t>
        </is>
      </c>
      <c r="D20" s="113">
        <f>원자료!I49</f>
        <v/>
      </c>
      <c r="E20" s="113">
        <f>D20*원자료!J49/100000000</f>
        <v/>
      </c>
      <c r="F20" s="114">
        <f>IF(원자료!T49="","미확인",원자료!T49)</f>
        <v/>
      </c>
      <c r="G20" s="113">
        <f>IF(원자료!D49="","미확인",원자료!D49)</f>
        <v/>
      </c>
      <c r="H20" s="115">
        <f>IF(AND(ISNUMBER(F20),ISNUMBER(G20)),IF(F20=0,IF(G20&gt;0,"흑자전환",IF(G20=0,"손익분기","미확인")),IF(F20&lt;0,IF(G20&gt;0,"흑자전환",IF(G20=0,"손익분기","적자지속")),IF(G20&lt;0,"적자전환",IF(G20=0,-1,G20/F20-1)))),"미확인")</f>
        <v/>
      </c>
      <c r="I20" s="114">
        <f>IF(원자료!U49="","미확인",원자료!U49)</f>
        <v/>
      </c>
      <c r="J20" s="113">
        <f>IF(원자료!E49="","미확인",원자료!E49)</f>
        <v/>
      </c>
      <c r="K20" s="115">
        <f>IF(AND(ISNUMBER(I20),ISNUMBER(J20)),IF(I20=0,IF(J20&gt;0,"흑자전환",IF(J20=0,"손익분기","미확인")),IF(I20&lt;0,IF(J20&gt;0,"흑자전환",IF(J20=0,"손익분기","적자지속")),IF(J20&lt;0,"적자전환",IF(J20=0,-1,J20/I20-1)))),"미확인")</f>
        <v/>
      </c>
      <c r="L20" s="116">
        <f>IF(ISNUMBER(G20),IF(G20&gt;0,E20/G20,"적자"),"미산출")</f>
        <v/>
      </c>
      <c r="M20" s="117">
        <f>IF(ISNUMBER(J20),IF(J20&gt;0,E20/J20,"적자"),"미산출")</f>
        <v/>
      </c>
      <c r="N20" s="118">
        <f>IF(원자료!O49="","미확인",원자료!O49)</f>
        <v/>
      </c>
      <c r="O20" s="117" t="n">
        <v>14</v>
      </c>
      <c r="P20" s="117" t="n">
        <v>11.4</v>
      </c>
      <c r="Q20" s="19" t="inlineStr">
        <is>
          <t>기존 / 원표 기준</t>
        </is>
      </c>
      <c r="R20" s="1" t="n"/>
      <c r="S20" s="1" t="n"/>
    </row>
    <row r="21" ht="21.95" customHeight="1">
      <c r="A21" s="18" t="n">
        <v>28</v>
      </c>
      <c r="B21" s="24" t="inlineStr">
        <is>
          <t>에이엘티</t>
        </is>
      </c>
      <c r="C21" s="91" t="inlineStr">
        <is>
          <t>172670</t>
        </is>
      </c>
      <c r="D21" s="92">
        <f>원자료!I34</f>
        <v/>
      </c>
      <c r="E21" s="92">
        <f>D21*원자료!J34/100000000</f>
        <v/>
      </c>
      <c r="F21" s="93">
        <f>IF(원자료!T34="","미확인",원자료!T34)</f>
        <v/>
      </c>
      <c r="G21" s="92">
        <f>IF(원자료!D34="","미확인",원자료!D34)</f>
        <v/>
      </c>
      <c r="H21" s="94">
        <f>IF(AND(ISNUMBER(F21),ISNUMBER(G21)),IF(F21=0,IF(G21&gt;0,"흑자전환",IF(G21=0,"손익분기","미확인")),IF(F21&lt;0,IF(G21&gt;0,"흑자전환",IF(G21=0,"손익분기","적자지속")),IF(G21&lt;0,"적자전환",IF(G21=0,-1,G21/F21-1)))),"미확인")</f>
        <v/>
      </c>
      <c r="I21" s="93">
        <f>IF(원자료!U34="","미확인",원자료!U34)</f>
        <v/>
      </c>
      <c r="J21" s="92">
        <f>IF(원자료!E34="","미확인",원자료!E34)</f>
        <v/>
      </c>
      <c r="K21" s="94">
        <f>IF(AND(ISNUMBER(I21),ISNUMBER(J21)),IF(I21=0,IF(J21&gt;0,"흑자전환",IF(J21=0,"손익분기","미확인")),IF(I21&lt;0,IF(J21&gt;0,"흑자전환",IF(J21=0,"손익분기","적자지속")),IF(J21&lt;0,"적자전환",IF(J21=0,-1,J21/I21-1)))),"미확인")</f>
        <v/>
      </c>
      <c r="L21" s="95">
        <f>IF(ISNUMBER(G21),IF(G21&gt;0,E21/G21,"적자"),"미산출")</f>
        <v/>
      </c>
      <c r="M21" s="96">
        <f>IF(ISNUMBER(J21),IF(J21&gt;0,E21/J21,"적자"),"미산출")</f>
        <v/>
      </c>
      <c r="N21" s="97">
        <f>IF(원자료!O34="","미확인",원자료!O34)</f>
        <v/>
      </c>
      <c r="O21" s="96" t="n">
        <v>10.9</v>
      </c>
      <c r="P21" s="96" t="n">
        <v>8.800000000000001</v>
      </c>
      <c r="Q21" s="24" t="inlineStr">
        <is>
          <t>기존 / 원표 기준</t>
        </is>
      </c>
      <c r="R21" s="1" t="n"/>
      <c r="S21" s="1" t="n"/>
    </row>
    <row r="22" ht="21.95" customHeight="1">
      <c r="A22" s="51" t="n">
        <v>52</v>
      </c>
      <c r="B22" s="52" t="inlineStr">
        <is>
          <t>파두</t>
        </is>
      </c>
      <c r="C22" s="119" t="inlineStr">
        <is>
          <t>440110</t>
        </is>
      </c>
      <c r="D22" s="120">
        <f>원자료!I62</f>
        <v/>
      </c>
      <c r="E22" s="120">
        <f>D22*원자료!J62/100000000</f>
        <v/>
      </c>
      <c r="F22" s="121">
        <f>IF(원자료!T62="","미확인",원자료!T62)</f>
        <v/>
      </c>
      <c r="G22" s="120">
        <f>IF(원자료!D62="","미확인",원자료!D62)</f>
        <v/>
      </c>
      <c r="H22" s="122">
        <f>IF(AND(ISNUMBER(F22),ISNUMBER(G22)),IF(F22=0,IF(G22&gt;0,"흑자전환",IF(G22=0,"손익분기","미확인")),IF(F22&lt;0,IF(G22&gt;0,"흑자전환",IF(G22=0,"손익분기","적자지속")),IF(G22&lt;0,"적자전환",IF(G22=0,-1,G22/F22-1)))),"미확인")</f>
        <v/>
      </c>
      <c r="I22" s="121">
        <f>IF(원자료!U62="","미확인",원자료!U62)</f>
        <v/>
      </c>
      <c r="J22" s="120">
        <f>IF(원자료!E62="","미확인",원자료!E62)</f>
        <v/>
      </c>
      <c r="K22" s="122">
        <f>IF(AND(ISNUMBER(I22),ISNUMBER(J22)),IF(I22=0,IF(J22&gt;0,"흑자전환",IF(J22=0,"손익분기","미확인")),IF(I22&lt;0,IF(J22&gt;0,"흑자전환",IF(J22=0,"손익분기","적자지속")),IF(J22&lt;0,"적자전환",IF(J22=0,-1,J22/I22-1)))),"미확인")</f>
        <v/>
      </c>
      <c r="L22" s="123">
        <f>IF(ISNUMBER(G22),IF(G22&gt;0,E22/G22,"적자"),"미산출")</f>
        <v/>
      </c>
      <c r="M22" s="124">
        <f>IF(ISNUMBER(J22),IF(J22&gt;0,E22/J22,"적자"),"미산출")</f>
        <v/>
      </c>
      <c r="N22" s="125">
        <f>IF(원자료!O62="","미확인",원자료!O62)</f>
        <v/>
      </c>
      <c r="O22" s="124" t="n">
        <v>19</v>
      </c>
      <c r="P22" s="124" t="n">
        <v>17</v>
      </c>
      <c r="Q22" s="52" t="inlineStr">
        <is>
          <t>기존 / 원표 기준</t>
        </is>
      </c>
      <c r="R22" s="1" t="n"/>
      <c r="S22" s="1" t="n"/>
    </row>
    <row r="23" ht="21.95" customHeight="1">
      <c r="A23" s="51" t="n">
        <v>47</v>
      </c>
      <c r="B23" s="68" t="inlineStr">
        <is>
          <t>넥스틴</t>
        </is>
      </c>
      <c r="C23" s="84" t="inlineStr">
        <is>
          <t>348210</t>
        </is>
      </c>
      <c r="D23" s="85">
        <f>원자료!I57</f>
        <v/>
      </c>
      <c r="E23" s="85">
        <f>D23*원자료!J57/100000000</f>
        <v/>
      </c>
      <c r="F23" s="86">
        <f>IF(원자료!T57="","미확인",원자료!T57)</f>
        <v/>
      </c>
      <c r="G23" s="85">
        <f>IF(원자료!D57="","미확인",원자료!D57)</f>
        <v/>
      </c>
      <c r="H23" s="87">
        <f>IF(AND(ISNUMBER(F23),ISNUMBER(G23)),IF(F23=0,IF(G23&gt;0,"흑자전환",IF(G23=0,"손익분기","미확인")),IF(F23&lt;0,IF(G23&gt;0,"흑자전환",IF(G23=0,"손익분기","적자지속")),IF(G23&lt;0,"적자전환",IF(G23=0,-1,G23/F23-1)))),"미확인")</f>
        <v/>
      </c>
      <c r="I23" s="86">
        <f>IF(원자료!U57="","미확인",원자료!U57)</f>
        <v/>
      </c>
      <c r="J23" s="85">
        <f>IF(원자료!E57="","미확인",원자료!E57)</f>
        <v/>
      </c>
      <c r="K23" s="87">
        <f>IF(AND(ISNUMBER(I23),ISNUMBER(J23)),IF(I23=0,IF(J23&gt;0,"흑자전환",IF(J23=0,"손익분기","미확인")),IF(I23&lt;0,IF(J23&gt;0,"흑자전환",IF(J23=0,"손익분기","적자지속")),IF(J23&lt;0,"적자전환",IF(J23=0,-1,J23/I23-1)))),"미확인")</f>
        <v/>
      </c>
      <c r="L23" s="88">
        <f>IF(ISNUMBER(G23),IF(G23&gt;0,E23/G23,"적자"),"미산출")</f>
        <v/>
      </c>
      <c r="M23" s="89">
        <f>IF(ISNUMBER(J23),IF(J23&gt;0,E23/J23,"적자"),"미산출")</f>
        <v/>
      </c>
      <c r="N23" s="90">
        <f>IF(원자료!O57="","미확인",원자료!O57)</f>
        <v/>
      </c>
      <c r="O23" s="89" t="n">
        <v>16.7</v>
      </c>
      <c r="P23" s="89" t="n">
        <v>13.8</v>
      </c>
      <c r="Q23" s="68" t="inlineStr">
        <is>
          <t>기존 / 원표 기준</t>
        </is>
      </c>
      <c r="R23" s="1" t="n"/>
      <c r="S23" s="1" t="n"/>
    </row>
    <row r="24" ht="21.95" customHeight="1">
      <c r="A24" s="18" t="n">
        <v>78</v>
      </c>
      <c r="B24" s="24" t="inlineStr">
        <is>
          <t>두산테스나</t>
        </is>
      </c>
      <c r="C24" s="91" t="inlineStr">
        <is>
          <t>131970</t>
        </is>
      </c>
      <c r="D24" s="92">
        <f>원자료!I79</f>
        <v/>
      </c>
      <c r="E24" s="92">
        <f>D24*원자료!J79/100000000</f>
        <v/>
      </c>
      <c r="F24" s="93">
        <f>IF(원자료!T79="","미확인",원자료!T79)</f>
        <v/>
      </c>
      <c r="G24" s="92">
        <f>IF(원자료!D79="","미확인",원자료!D79)</f>
        <v/>
      </c>
      <c r="H24" s="94">
        <f>IF(AND(ISNUMBER(F24),ISNUMBER(G24)),IF(F24=0,IF(G24&gt;0,"흑자전환",IF(G24=0,"손익분기","미확인")),IF(F24&lt;0,IF(G24&gt;0,"흑자전환",IF(G24=0,"손익분기","적자지속")),IF(G24&lt;0,"적자전환",IF(G24=0,-1,G24/F24-1)))),"미확인")</f>
        <v/>
      </c>
      <c r="I24" s="93">
        <f>IF(원자료!U79="","미확인",원자료!U79)</f>
        <v/>
      </c>
      <c r="J24" s="92">
        <f>IF(원자료!E79="","미확인",원자료!E79)</f>
        <v/>
      </c>
      <c r="K24" s="94">
        <f>IF(AND(ISNUMBER(I24),ISNUMBER(J24)),IF(I24=0,IF(J24&gt;0,"흑자전환",IF(J24=0,"손익분기","미확인")),IF(I24&lt;0,IF(J24&gt;0,"흑자전환",IF(J24=0,"손익분기","적자지속")),IF(J24&lt;0,"적자전환",IF(J24=0,-1,J24/I24-1)))),"미확인")</f>
        <v/>
      </c>
      <c r="L24" s="95">
        <f>IF(ISNUMBER(G24),IF(G24&gt;0,E24/G24,"적자"),"미산출")</f>
        <v/>
      </c>
      <c r="M24" s="96">
        <f>IF(ISNUMBER(J24),IF(J24&gt;0,E24/J24,"적자"),"미산출")</f>
        <v/>
      </c>
      <c r="N24" s="97">
        <f>IF(원자료!O79="","미확인",원자료!O79)</f>
        <v/>
      </c>
      <c r="O24" s="96" t="n">
        <v>26.4</v>
      </c>
      <c r="P24" s="96" t="n">
        <v>21.8</v>
      </c>
      <c r="Q24" s="24" t="inlineStr">
        <is>
          <t>기존 / 원표 기준</t>
        </is>
      </c>
      <c r="R24" s="1" t="n"/>
      <c r="S24" s="1" t="n"/>
    </row>
    <row r="25" ht="21.95" customHeight="1">
      <c r="A25" s="18" t="n">
        <v>87</v>
      </c>
      <c r="B25" s="19" t="inlineStr">
        <is>
          <t>주성엔지니어링</t>
        </is>
      </c>
      <c r="C25" s="112" t="inlineStr">
        <is>
          <t>036930</t>
        </is>
      </c>
      <c r="D25" s="113">
        <f>원자료!I92</f>
        <v/>
      </c>
      <c r="E25" s="113">
        <f>D25*원자료!J92/100000000</f>
        <v/>
      </c>
      <c r="F25" s="114">
        <f>IF(원자료!T92="","미확인",원자료!T92)</f>
        <v/>
      </c>
      <c r="G25" s="113">
        <f>IF(원자료!D92="","미확인",원자료!D92)</f>
        <v/>
      </c>
      <c r="H25" s="115">
        <f>IF(AND(ISNUMBER(F25),ISNUMBER(G25)),IF(F25=0,IF(G25&gt;0,"흑자전환",IF(G25=0,"손익분기","미확인")),IF(F25&lt;0,IF(G25&gt;0,"흑자전환",IF(G25=0,"손익분기","적자지속")),IF(G25&lt;0,"적자전환",IF(G25=0,-1,G25/F25-1)))),"미확인")</f>
        <v/>
      </c>
      <c r="I25" s="114">
        <f>IF(원자료!U92="","미확인",원자료!U92)</f>
        <v/>
      </c>
      <c r="J25" s="113">
        <f>IF(원자료!E92="","미확인",원자료!E92)</f>
        <v/>
      </c>
      <c r="K25" s="115">
        <f>IF(AND(ISNUMBER(I25),ISNUMBER(J25)),IF(I25=0,IF(J25&gt;0,"흑자전환",IF(J25=0,"손익분기","미확인")),IF(I25&lt;0,IF(J25&gt;0,"흑자전환",IF(J25=0,"손익분기","적자지속")),IF(J25&lt;0,"적자전환",IF(J25=0,-1,J25/I25-1)))),"미확인")</f>
        <v/>
      </c>
      <c r="L25" s="116">
        <f>IF(ISNUMBER(G25),IF(G25&gt;0,E25/G25,"적자"),"미산출")</f>
        <v/>
      </c>
      <c r="M25" s="117">
        <f>IF(ISNUMBER(J25),IF(J25&gt;0,E25/J25,"적자"),"미산출")</f>
        <v/>
      </c>
      <c r="N25" s="118">
        <f>IF(원자료!O92="","미확인",원자료!O92)</f>
        <v/>
      </c>
      <c r="O25" s="117" t="n">
        <v>100.3</v>
      </c>
      <c r="P25" s="117" t="n">
        <v>83.90000000000001</v>
      </c>
      <c r="Q25" s="19" t="inlineStr">
        <is>
          <t>기존 / 원표 기준</t>
        </is>
      </c>
      <c r="R25" s="1" t="n"/>
      <c r="S25" s="1" t="n"/>
    </row>
    <row r="26" ht="21.95" customHeight="1">
      <c r="A26" s="51" t="n">
        <v>35</v>
      </c>
      <c r="B26" s="68" t="inlineStr">
        <is>
          <t>예스티</t>
        </is>
      </c>
      <c r="C26" s="84" t="inlineStr">
        <is>
          <t>122640</t>
        </is>
      </c>
      <c r="D26" s="85">
        <f>원자료!I46</f>
        <v/>
      </c>
      <c r="E26" s="85">
        <f>D26*원자료!J46/100000000</f>
        <v/>
      </c>
      <c r="F26" s="86">
        <f>IF(원자료!T46="","미확인",원자료!T46)</f>
        <v/>
      </c>
      <c r="G26" s="85">
        <f>IF(원자료!D46="","미확인",원자료!D46)</f>
        <v/>
      </c>
      <c r="H26" s="87">
        <f>IF(AND(ISNUMBER(F26),ISNUMBER(G26)),IF(F26=0,IF(G26&gt;0,"흑자전환",IF(G26=0,"손익분기","미확인")),IF(F26&lt;0,IF(G26&gt;0,"흑자전환",IF(G26=0,"손익분기","적자지속")),IF(G26&lt;0,"적자전환",IF(G26=0,-1,G26/F26-1)))),"미확인")</f>
        <v/>
      </c>
      <c r="I26" s="86">
        <f>IF(원자료!U46="","미확인",원자료!U46)</f>
        <v/>
      </c>
      <c r="J26" s="85">
        <f>IF(원자료!E46="","미확인",원자료!E46)</f>
        <v/>
      </c>
      <c r="K26" s="87">
        <f>IF(AND(ISNUMBER(I26),ISNUMBER(J26)),IF(I26=0,IF(J26&gt;0,"흑자전환",IF(J26=0,"손익분기","미확인")),IF(I26&lt;0,IF(J26&gt;0,"흑자전환",IF(J26=0,"손익분기","적자지속")),IF(J26&lt;0,"적자전환",IF(J26=0,-1,J26/I26-1)))),"미확인")</f>
        <v/>
      </c>
      <c r="L26" s="88">
        <f>IF(ISNUMBER(G26),IF(G26&gt;0,E26/G26,"적자"),"미산출")</f>
        <v/>
      </c>
      <c r="M26" s="89">
        <f>IF(ISNUMBER(J26),IF(J26&gt;0,E26/J26,"적자"),"미산출")</f>
        <v/>
      </c>
      <c r="N26" s="90">
        <f>IF(원자료!O46="","미확인",원자료!O46)</f>
        <v/>
      </c>
      <c r="O26" s="89" t="n">
        <v>13.5</v>
      </c>
      <c r="P26" s="89" t="n">
        <v>10.2</v>
      </c>
      <c r="Q26" s="68" t="inlineStr">
        <is>
          <t>기존 / 원표 기준</t>
        </is>
      </c>
      <c r="R26" s="1" t="n"/>
      <c r="S26" s="1" t="n"/>
    </row>
    <row r="27" ht="21.95" customHeight="1">
      <c r="A27" s="18" t="n">
        <v>60</v>
      </c>
      <c r="B27" s="24" t="inlineStr">
        <is>
          <t>기가비스</t>
        </is>
      </c>
      <c r="C27" s="91" t="inlineStr">
        <is>
          <t>420770</t>
        </is>
      </c>
      <c r="D27" s="92">
        <f>원자료!I64</f>
        <v/>
      </c>
      <c r="E27" s="92">
        <f>D27*원자료!J64/100000000</f>
        <v/>
      </c>
      <c r="F27" s="93">
        <f>IF(원자료!T64="","미확인",원자료!T64)</f>
        <v/>
      </c>
      <c r="G27" s="92">
        <f>IF(원자료!D64="","미확인",원자료!D64)</f>
        <v/>
      </c>
      <c r="H27" s="94">
        <f>IF(AND(ISNUMBER(F27),ISNUMBER(G27)),IF(F27=0,IF(G27&gt;0,"흑자전환",IF(G27=0,"손익분기","미확인")),IF(F27&lt;0,IF(G27&gt;0,"흑자전환",IF(G27=0,"손익분기","적자지속")),IF(G27&lt;0,"적자전환",IF(G27=0,-1,G27/F27-1)))),"미확인")</f>
        <v/>
      </c>
      <c r="I27" s="93">
        <f>IF(원자료!U64="","미확인",원자료!U64)</f>
        <v/>
      </c>
      <c r="J27" s="92">
        <f>IF(원자료!E64="","미확인",원자료!E64)</f>
        <v/>
      </c>
      <c r="K27" s="94">
        <f>IF(AND(ISNUMBER(I27),ISNUMBER(J27)),IF(I27=0,IF(J27&gt;0,"흑자전환",IF(J27=0,"손익분기","미확인")),IF(I27&lt;0,IF(J27&gt;0,"흑자전환",IF(J27=0,"손익분기","적자지속")),IF(J27&lt;0,"적자전환",IF(J27=0,-1,J27/I27-1)))),"미확인")</f>
        <v/>
      </c>
      <c r="L27" s="95">
        <f>IF(ISNUMBER(G27),IF(G27&gt;0,E27/G27,"적자"),"미산출")</f>
        <v/>
      </c>
      <c r="M27" s="96">
        <f>IF(ISNUMBER(J27),IF(J27&gt;0,E27/J27,"적자"),"미산출")</f>
        <v/>
      </c>
      <c r="N27" s="97">
        <f>IF(원자료!O64="","미확인",원자료!O64)</f>
        <v/>
      </c>
      <c r="O27" s="96" t="n">
        <v>20</v>
      </c>
      <c r="P27" s="96" t="n">
        <v>16.8</v>
      </c>
      <c r="Q27" s="24" t="inlineStr">
        <is>
          <t>기존 / 원표 기준</t>
        </is>
      </c>
      <c r="R27" s="1" t="n"/>
      <c r="S27" s="1" t="n"/>
    </row>
    <row r="28" ht="21.95" customHeight="1">
      <c r="A28" s="18" t="n">
        <v>41</v>
      </c>
      <c r="B28" s="19" t="inlineStr">
        <is>
          <t>비씨엔씨</t>
        </is>
      </c>
      <c r="C28" s="112" t="inlineStr">
        <is>
          <t>146320</t>
        </is>
      </c>
      <c r="D28" s="113">
        <f>원자료!I45</f>
        <v/>
      </c>
      <c r="E28" s="113">
        <f>D28*원자료!J45/100000000</f>
        <v/>
      </c>
      <c r="F28" s="114">
        <f>IF(원자료!T45="","미확인",원자료!T45)</f>
        <v/>
      </c>
      <c r="G28" s="113">
        <f>IF(원자료!D45="","미확인",원자료!D45)</f>
        <v/>
      </c>
      <c r="H28" s="115">
        <f>IF(AND(ISNUMBER(F28),ISNUMBER(G28)),IF(F28=0,IF(G28&gt;0,"흑자전환",IF(G28=0,"손익분기","미확인")),IF(F28&lt;0,IF(G28&gt;0,"흑자전환",IF(G28=0,"손익분기","적자지속")),IF(G28&lt;0,"적자전환",IF(G28=0,-1,G28/F28-1)))),"미확인")</f>
        <v/>
      </c>
      <c r="I28" s="114">
        <f>IF(원자료!U45="","미확인",원자료!U45)</f>
        <v/>
      </c>
      <c r="J28" s="113">
        <f>IF(원자료!E45="","미확인",원자료!E45)</f>
        <v/>
      </c>
      <c r="K28" s="115">
        <f>IF(AND(ISNUMBER(I28),ISNUMBER(J28)),IF(I28=0,IF(J28&gt;0,"흑자전환",IF(J28=0,"손익분기","미확인")),IF(I28&lt;0,IF(J28&gt;0,"흑자전환",IF(J28=0,"손익분기","적자지속")),IF(J28&lt;0,"적자전환",IF(J28=0,-1,J28/I28-1)))),"미확인")</f>
        <v/>
      </c>
      <c r="L28" s="116">
        <f>IF(ISNUMBER(G28),IF(G28&gt;0,E28/G28,"적자"),"미산출")</f>
        <v/>
      </c>
      <c r="M28" s="117">
        <f>IF(ISNUMBER(J28),IF(J28&gt;0,E28/J28,"적자"),"미산출")</f>
        <v/>
      </c>
      <c r="N28" s="118">
        <f>IF(원자료!O45="","미확인",원자료!O45)</f>
        <v/>
      </c>
      <c r="O28" s="117" t="n">
        <v>13.5</v>
      </c>
      <c r="P28" s="117" t="n">
        <v>8.9</v>
      </c>
      <c r="Q28" s="19" t="inlineStr">
        <is>
          <t>기존 / 원표 기준</t>
        </is>
      </c>
      <c r="R28" s="1" t="n"/>
      <c r="S28" s="1" t="n"/>
    </row>
    <row r="29" ht="21.95" customHeight="1">
      <c r="A29" s="18" t="n">
        <v>33</v>
      </c>
      <c r="B29" s="19" t="inlineStr">
        <is>
          <t>와이씨켐</t>
        </is>
      </c>
      <c r="C29" s="112" t="inlineStr">
        <is>
          <t>112290</t>
        </is>
      </c>
      <c r="D29" s="113">
        <f>원자료!I41</f>
        <v/>
      </c>
      <c r="E29" s="113">
        <f>D29*원자료!J41/100000000</f>
        <v/>
      </c>
      <c r="F29" s="114">
        <f>IF(원자료!T41="","미확인",원자료!T41)</f>
        <v/>
      </c>
      <c r="G29" s="113">
        <f>IF(원자료!D41="","미확인",원자료!D41)</f>
        <v/>
      </c>
      <c r="H29" s="115">
        <f>IF(AND(ISNUMBER(F29),ISNUMBER(G29)),IF(F29=0,IF(G29&gt;0,"흑자전환",IF(G29=0,"손익분기","미확인")),IF(F29&lt;0,IF(G29&gt;0,"흑자전환",IF(G29=0,"손익분기","적자지속")),IF(G29&lt;0,"적자전환",IF(G29=0,-1,G29/F29-1)))),"미확인")</f>
        <v/>
      </c>
      <c r="I29" s="114">
        <f>IF(원자료!U41="","미확인",원자료!U41)</f>
        <v/>
      </c>
      <c r="J29" s="113">
        <f>IF(원자료!E41="","미확인",원자료!E41)</f>
        <v/>
      </c>
      <c r="K29" s="115">
        <f>IF(AND(ISNUMBER(I29),ISNUMBER(J29)),IF(I29=0,IF(J29&gt;0,"흑자전환",IF(J29=0,"손익분기","미확인")),IF(I29&lt;0,IF(J29&gt;0,"흑자전환",IF(J29=0,"손익분기","적자지속")),IF(J29&lt;0,"적자전환",IF(J29=0,-1,J29/I29-1)))),"미확인")</f>
        <v/>
      </c>
      <c r="L29" s="116">
        <f>IF(ISNUMBER(G29),IF(G29&gt;0,E29/G29,"적자"),"미산출")</f>
        <v/>
      </c>
      <c r="M29" s="117">
        <f>IF(ISNUMBER(J29),IF(J29&gt;0,E29/J29,"적자"),"미산출")</f>
        <v/>
      </c>
      <c r="N29" s="118">
        <f>IF(원자료!O41="","미확인",원자료!O41)</f>
        <v/>
      </c>
      <c r="O29" s="117" t="n">
        <v>12.8</v>
      </c>
      <c r="P29" s="117" t="n">
        <v>11.1</v>
      </c>
      <c r="Q29" s="19" t="inlineStr">
        <is>
          <t>기존 / 원표 기준</t>
        </is>
      </c>
      <c r="R29" s="1" t="n"/>
      <c r="S29" s="1" t="n"/>
    </row>
    <row r="30" ht="21.95" customHeight="1">
      <c r="A30" s="18" t="n">
        <v>81</v>
      </c>
      <c r="B30" s="29" t="inlineStr">
        <is>
          <t>삼성전기</t>
        </is>
      </c>
      <c r="C30" s="105" t="inlineStr">
        <is>
          <t>009150</t>
        </is>
      </c>
      <c r="D30" s="106">
        <f>원자료!I97</f>
        <v/>
      </c>
      <c r="E30" s="106">
        <f>D30*원자료!J97/100000000</f>
        <v/>
      </c>
      <c r="F30" s="107">
        <f>IF(원자료!T97="","미확인",원자료!T97)</f>
        <v/>
      </c>
      <c r="G30" s="106">
        <f>IF(원자료!D97="","미확인",원자료!D97)</f>
        <v/>
      </c>
      <c r="H30" s="108">
        <f>IF(AND(ISNUMBER(F30),ISNUMBER(G30)),IF(F30=0,IF(G30&gt;0,"흑자전환",IF(G30=0,"손익분기","미확인")),IF(F30&lt;0,IF(G30&gt;0,"흑자전환",IF(G30=0,"손익분기","적자지속")),IF(G30&lt;0,"적자전환",IF(G30=0,-1,G30/F30-1)))),"미확인")</f>
        <v/>
      </c>
      <c r="I30" s="107">
        <f>IF(원자료!U97="","미확인",원자료!U97)</f>
        <v/>
      </c>
      <c r="J30" s="106">
        <f>IF(원자료!E97="","미확인",원자료!E97)</f>
        <v/>
      </c>
      <c r="K30" s="108">
        <f>IF(AND(ISNUMBER(I30),ISNUMBER(J30)),IF(I30=0,IF(J30&gt;0,"흑자전환",IF(J30=0,"손익분기","미확인")),IF(I30&lt;0,IF(J30&gt;0,"흑자전환",IF(J30=0,"손익분기","적자지속")),IF(J30&lt;0,"적자전환",IF(J30=0,-1,J30/I30-1)))),"미확인")</f>
        <v/>
      </c>
      <c r="L30" s="109">
        <f>IF(ISNUMBER(G30),IF(G30&gt;0,E30/G30,"적자"),"미산출")</f>
        <v/>
      </c>
      <c r="M30" s="110">
        <f>IF(ISNUMBER(J30),IF(J30&gt;0,E30/J30,"적자"),"미산출")</f>
        <v/>
      </c>
      <c r="N30" s="111">
        <f>IF(원자료!O97="","미확인",원자료!O97)</f>
        <v/>
      </c>
      <c r="O30" s="110" t="n"/>
      <c r="P30" s="110" t="n"/>
      <c r="Q30" s="29" t="inlineStr">
        <is>
          <t>추가 / 지배순이익</t>
        </is>
      </c>
      <c r="R30" s="1" t="n"/>
      <c r="S30" s="1" t="n"/>
    </row>
    <row r="31" ht="21.95" customHeight="1">
      <c r="A31" s="18" t="n">
        <v>8</v>
      </c>
      <c r="B31" s="24" t="inlineStr">
        <is>
          <t>유니테스트</t>
        </is>
      </c>
      <c r="C31" s="126" t="inlineStr">
        <is>
          <t>086390</t>
        </is>
      </c>
      <c r="D31" s="127">
        <f>원자료!I19</f>
        <v/>
      </c>
      <c r="E31" s="127">
        <f>D31*원자료!J19/100000000</f>
        <v/>
      </c>
      <c r="F31" s="128">
        <f>IF(원자료!T19="","미확인",원자료!T19)</f>
        <v/>
      </c>
      <c r="G31" s="127">
        <f>IF(원자료!D19="","미확인",원자료!D19)</f>
        <v/>
      </c>
      <c r="H31" s="129">
        <f>IF(AND(ISNUMBER(F31),ISNUMBER(G31)),IF(F31=0,IF(G31&gt;0,"흑자전환",IF(G31=0,"손익분기","미확인")),IF(F31&lt;0,IF(G31&gt;0,"흑자전환",IF(G31=0,"손익분기","적자지속")),IF(G31&lt;0,"적자전환",IF(G31=0,-1,G31/F31-1)))),"미확인")</f>
        <v/>
      </c>
      <c r="I31" s="128">
        <f>IF(원자료!U19="","미확인",원자료!U19)</f>
        <v/>
      </c>
      <c r="J31" s="127">
        <f>IF(원자료!E19="","미확인",원자료!E19)</f>
        <v/>
      </c>
      <c r="K31" s="129">
        <f>IF(AND(ISNUMBER(I31),ISNUMBER(J31)),IF(I31=0,IF(J31&gt;0,"흑자전환",IF(J31=0,"손익분기","미확인")),IF(I31&lt;0,IF(J31&gt;0,"흑자전환",IF(J31=0,"손익분기","적자지속")),IF(J31&lt;0,"적자전환",IF(J31=0,-1,J31/I31-1)))),"미확인")</f>
        <v/>
      </c>
      <c r="L31" s="130">
        <f>IF(ISNUMBER(G31),IF(G31&gt;0,E31/G31,"적자"),"미산출")</f>
        <v/>
      </c>
      <c r="M31" s="131">
        <f>IF(ISNUMBER(J31),IF(J31&gt;0,E31/J31,"적자"),"미산출")</f>
        <v/>
      </c>
      <c r="N31" s="132">
        <f>IF(원자료!O19="","미확인",원자료!O19)</f>
        <v/>
      </c>
      <c r="O31" s="131" t="n">
        <v>7.8</v>
      </c>
      <c r="P31" s="131" t="n">
        <v>6.2</v>
      </c>
      <c r="Q31" s="24" t="inlineStr">
        <is>
          <t>기존 / 원표 기준</t>
        </is>
      </c>
      <c r="R31" s="1" t="n"/>
      <c r="S31" s="1" t="n"/>
    </row>
    <row r="32" ht="21.95" customHeight="1">
      <c r="A32" s="18" t="n">
        <v>73</v>
      </c>
      <c r="B32" s="19" t="inlineStr">
        <is>
          <t>에프에스티</t>
        </is>
      </c>
      <c r="C32" s="112" t="inlineStr">
        <is>
          <t>036810</t>
        </is>
      </c>
      <c r="D32" s="113">
        <f>원자료!I84</f>
        <v/>
      </c>
      <c r="E32" s="113">
        <f>D32*원자료!J84/100000000</f>
        <v/>
      </c>
      <c r="F32" s="114">
        <f>IF(원자료!T84="","미확인",원자료!T84)</f>
        <v/>
      </c>
      <c r="G32" s="113">
        <f>IF(원자료!D84="","미확인",원자료!D84)</f>
        <v/>
      </c>
      <c r="H32" s="115">
        <f>IF(AND(ISNUMBER(F32),ISNUMBER(G32)),IF(F32=0,IF(G32&gt;0,"흑자전환",IF(G32=0,"손익분기","미확인")),IF(F32&lt;0,IF(G32&gt;0,"흑자전환",IF(G32=0,"손익분기","적자지속")),IF(G32&lt;0,"적자전환",IF(G32=0,-1,G32/F32-1)))),"미확인")</f>
        <v/>
      </c>
      <c r="I32" s="114">
        <f>IF(원자료!U84="","미확인",원자료!U84)</f>
        <v/>
      </c>
      <c r="J32" s="113">
        <f>IF(원자료!E84="","미확인",원자료!E84)</f>
        <v/>
      </c>
      <c r="K32" s="115">
        <f>IF(AND(ISNUMBER(I32),ISNUMBER(J32)),IF(I32=0,IF(J32&gt;0,"흑자전환",IF(J32=0,"손익분기","미확인")),IF(I32&lt;0,IF(J32&gt;0,"흑자전환",IF(J32=0,"손익분기","적자지속")),IF(J32&lt;0,"적자전환",IF(J32=0,-1,J32/I32-1)))),"미확인")</f>
        <v/>
      </c>
      <c r="L32" s="116">
        <f>IF(ISNUMBER(G32),IF(G32&gt;0,E32/G32,"적자"),"미산출")</f>
        <v/>
      </c>
      <c r="M32" s="117">
        <f>IF(ISNUMBER(J32),IF(J32&gt;0,E32/J32,"적자"),"미산출")</f>
        <v/>
      </c>
      <c r="N32" s="118">
        <f>IF(원자료!O84="","미확인",원자료!O84)</f>
        <v/>
      </c>
      <c r="O32" s="117" t="n">
        <v>28.6</v>
      </c>
      <c r="P32" s="117" t="n">
        <v>16.4</v>
      </c>
      <c r="Q32" s="19" t="inlineStr">
        <is>
          <t>기존 / 원표 기준</t>
        </is>
      </c>
      <c r="R32" s="1" t="n"/>
      <c r="S32" s="1" t="n"/>
    </row>
    <row r="33" ht="21.95" customHeight="1">
      <c r="A33" s="51" t="n">
        <v>39</v>
      </c>
      <c r="B33" s="68" t="inlineStr">
        <is>
          <t>오킨스전자</t>
        </is>
      </c>
      <c r="C33" s="84" t="inlineStr">
        <is>
          <t>080580</t>
        </is>
      </c>
      <c r="D33" s="85">
        <f>원자료!I43</f>
        <v/>
      </c>
      <c r="E33" s="85">
        <f>D33*원자료!J43/100000000</f>
        <v/>
      </c>
      <c r="F33" s="86">
        <f>IF(원자료!T43="","미확인",원자료!T43)</f>
        <v/>
      </c>
      <c r="G33" s="85">
        <f>IF(원자료!D43="","미확인",원자료!D43)</f>
        <v/>
      </c>
      <c r="H33" s="87">
        <f>IF(AND(ISNUMBER(F33),ISNUMBER(G33)),IF(F33=0,IF(G33&gt;0,"흑자전환",IF(G33=0,"손익분기","미확인")),IF(F33&lt;0,IF(G33&gt;0,"흑자전환",IF(G33=0,"손익분기","적자지속")),IF(G33&lt;0,"적자전환",IF(G33=0,-1,G33/F33-1)))),"미확인")</f>
        <v/>
      </c>
      <c r="I33" s="86">
        <f>IF(원자료!U43="","미확인",원자료!U43)</f>
        <v/>
      </c>
      <c r="J33" s="85">
        <f>IF(원자료!E43="","미확인",원자료!E43)</f>
        <v/>
      </c>
      <c r="K33" s="87">
        <f>IF(AND(ISNUMBER(I33),ISNUMBER(J33)),IF(I33=0,IF(J33&gt;0,"흑자전환",IF(J33=0,"손익분기","미확인")),IF(I33&lt;0,IF(J33&gt;0,"흑자전환",IF(J33=0,"손익분기","적자지속")),IF(J33&lt;0,"적자전환",IF(J33=0,-1,J33/I33-1)))),"미확인")</f>
        <v/>
      </c>
      <c r="L33" s="88">
        <f>IF(ISNUMBER(G33),IF(G33&gt;0,E33/G33,"적자"),"미산출")</f>
        <v/>
      </c>
      <c r="M33" s="89">
        <f>IF(ISNUMBER(J33),IF(J33&gt;0,E33/J33,"적자"),"미산출")</f>
        <v/>
      </c>
      <c r="N33" s="90">
        <f>IF(원자료!O43="","미확인",원자료!O43)</f>
        <v/>
      </c>
      <c r="O33" s="89" t="n">
        <v>13</v>
      </c>
      <c r="P33" s="89" t="n">
        <v>10.6</v>
      </c>
      <c r="Q33" s="68" t="inlineStr">
        <is>
          <t>기존 / 원표 기준</t>
        </is>
      </c>
      <c r="R33" s="1" t="n"/>
      <c r="S33" s="1" t="n"/>
    </row>
    <row r="34" ht="21.95" customHeight="1">
      <c r="A34" s="18" t="n">
        <v>26</v>
      </c>
      <c r="B34" s="24" t="inlineStr">
        <is>
          <t>펨트론</t>
        </is>
      </c>
      <c r="C34" s="91" t="inlineStr">
        <is>
          <t>168360</t>
        </is>
      </c>
      <c r="D34" s="92">
        <f>원자료!I40</f>
        <v/>
      </c>
      <c r="E34" s="92">
        <f>D34*원자료!J40/100000000</f>
        <v/>
      </c>
      <c r="F34" s="93">
        <f>IF(원자료!T40="","미확인",원자료!T40)</f>
        <v/>
      </c>
      <c r="G34" s="92">
        <f>IF(원자료!D40="","미확인",원자료!D40)</f>
        <v/>
      </c>
      <c r="H34" s="94">
        <f>IF(AND(ISNUMBER(F34),ISNUMBER(G34)),IF(F34=0,IF(G34&gt;0,"흑자전환",IF(G34=0,"손익분기","미확인")),IF(F34&lt;0,IF(G34&gt;0,"흑자전환",IF(G34=0,"손익분기","적자지속")),IF(G34&lt;0,"적자전환",IF(G34=0,-1,G34/F34-1)))),"미확인")</f>
        <v/>
      </c>
      <c r="I34" s="93">
        <f>IF(원자료!U40="","미확인",원자료!U40)</f>
        <v/>
      </c>
      <c r="J34" s="92">
        <f>IF(원자료!E40="","미확인",원자료!E40)</f>
        <v/>
      </c>
      <c r="K34" s="94">
        <f>IF(AND(ISNUMBER(I34),ISNUMBER(J34)),IF(I34=0,IF(J34&gt;0,"흑자전환",IF(J34=0,"손익분기","미확인")),IF(I34&lt;0,IF(J34&gt;0,"흑자전환",IF(J34=0,"손익분기","적자지속")),IF(J34&lt;0,"적자전환",IF(J34=0,-1,J34/I34-1)))),"미확인")</f>
        <v/>
      </c>
      <c r="L34" s="95">
        <f>IF(ISNUMBER(G34),IF(G34&gt;0,E34/G34,"적자"),"미산출")</f>
        <v/>
      </c>
      <c r="M34" s="96">
        <f>IF(ISNUMBER(J34),IF(J34&gt;0,E34/J34,"적자"),"미산출")</f>
        <v/>
      </c>
      <c r="N34" s="97">
        <f>IF(원자료!O40="","미확인",원자료!O40)</f>
        <v/>
      </c>
      <c r="O34" s="96" t="n">
        <v>12.7</v>
      </c>
      <c r="P34" s="96" t="n">
        <v>9.9</v>
      </c>
      <c r="Q34" s="24" t="inlineStr">
        <is>
          <t>기존 / 원표 기준</t>
        </is>
      </c>
      <c r="R34" s="1" t="n"/>
      <c r="S34" s="1" t="n"/>
    </row>
    <row r="35" ht="21.95" customHeight="1">
      <c r="A35" s="18" t="n">
        <v>65</v>
      </c>
      <c r="B35" s="19" t="inlineStr">
        <is>
          <t>후성</t>
        </is>
      </c>
      <c r="C35" s="112" t="inlineStr">
        <is>
          <t>093370</t>
        </is>
      </c>
      <c r="D35" s="113">
        <f>원자료!I70</f>
        <v/>
      </c>
      <c r="E35" s="113">
        <f>D35*원자료!J70/100000000</f>
        <v/>
      </c>
      <c r="F35" s="114">
        <f>IF(원자료!T70="","미확인",원자료!T70)</f>
        <v/>
      </c>
      <c r="G35" s="113">
        <f>IF(원자료!D70="","미확인",원자료!D70)</f>
        <v/>
      </c>
      <c r="H35" s="115">
        <f>IF(AND(ISNUMBER(F35),ISNUMBER(G35)),IF(F35=0,IF(G35&gt;0,"흑자전환",IF(G35=0,"손익분기","미확인")),IF(F35&lt;0,IF(G35&gt;0,"흑자전환",IF(G35=0,"손익분기","적자지속")),IF(G35&lt;0,"적자전환",IF(G35=0,-1,G35/F35-1)))),"미확인")</f>
        <v/>
      </c>
      <c r="I35" s="114">
        <f>IF(원자료!U70="","미확인",원자료!U70)</f>
        <v/>
      </c>
      <c r="J35" s="113">
        <f>IF(원자료!E70="","미확인",원자료!E70)</f>
        <v/>
      </c>
      <c r="K35" s="115">
        <f>IF(AND(ISNUMBER(I35),ISNUMBER(J35)),IF(I35=0,IF(J35&gt;0,"흑자전환",IF(J35=0,"손익분기","미확인")),IF(I35&lt;0,IF(J35&gt;0,"흑자전환",IF(J35=0,"손익분기","적자지속")),IF(J35&lt;0,"적자전환",IF(J35=0,-1,J35/I35-1)))),"미확인")</f>
        <v/>
      </c>
      <c r="L35" s="116">
        <f>IF(ISNUMBER(G35),IF(G35&gt;0,E35/G35,"적자"),"미산출")</f>
        <v/>
      </c>
      <c r="M35" s="117">
        <f>IF(ISNUMBER(J35),IF(J35&gt;0,E35/J35,"적자"),"미산출")</f>
        <v/>
      </c>
      <c r="N35" s="118">
        <f>IF(원자료!O70="","미확인",원자료!O70)</f>
        <v/>
      </c>
      <c r="O35" s="117" t="n">
        <v>21.4</v>
      </c>
      <c r="P35" s="117" t="n">
        <v>14.5</v>
      </c>
      <c r="Q35" s="19" t="inlineStr">
        <is>
          <t>기존 / †</t>
        </is>
      </c>
      <c r="R35" s="1" t="n"/>
      <c r="S35" s="1" t="n"/>
    </row>
    <row r="36" ht="21.95" customHeight="1">
      <c r="A36" s="18" t="n">
        <v>46</v>
      </c>
      <c r="B36" s="24" t="inlineStr">
        <is>
          <t>큐알티</t>
        </is>
      </c>
      <c r="C36" s="91" t="inlineStr">
        <is>
          <t>405100</t>
        </is>
      </c>
      <c r="D36" s="92">
        <f>원자료!I42</f>
        <v/>
      </c>
      <c r="E36" s="92">
        <f>D36*원자료!J42/100000000</f>
        <v/>
      </c>
      <c r="F36" s="93">
        <f>IF(원자료!T42="","미확인",원자료!T42)</f>
        <v/>
      </c>
      <c r="G36" s="92">
        <f>IF(원자료!D42="","미확인",원자료!D42)</f>
        <v/>
      </c>
      <c r="H36" s="94">
        <f>IF(AND(ISNUMBER(F36),ISNUMBER(G36)),IF(F36=0,IF(G36&gt;0,"흑자전환",IF(G36=0,"손익분기","미확인")),IF(F36&lt;0,IF(G36&gt;0,"흑자전환",IF(G36=0,"손익분기","적자지속")),IF(G36&lt;0,"적자전환",IF(G36=0,-1,G36/F36-1)))),"미확인")</f>
        <v/>
      </c>
      <c r="I36" s="93">
        <f>IF(원자료!U42="","미확인",원자료!U42)</f>
        <v/>
      </c>
      <c r="J36" s="92">
        <f>IF(원자료!E42="","미확인",원자료!E42)</f>
        <v/>
      </c>
      <c r="K36" s="94">
        <f>IF(AND(ISNUMBER(I36),ISNUMBER(J36)),IF(I36=0,IF(J36&gt;0,"흑자전환",IF(J36=0,"손익분기","미확인")),IF(I36&lt;0,IF(J36&gt;0,"흑자전환",IF(J36=0,"손익분기","적자지속")),IF(J36&lt;0,"적자전환",IF(J36=0,-1,J36/I36-1)))),"미확인")</f>
        <v/>
      </c>
      <c r="L36" s="95">
        <f>IF(ISNUMBER(G36),IF(G36&gt;0,E36/G36,"적자"),"미산출")</f>
        <v/>
      </c>
      <c r="M36" s="96">
        <f>IF(ISNUMBER(J36),IF(J36&gt;0,E36/J36,"적자"),"미산출")</f>
        <v/>
      </c>
      <c r="N36" s="97">
        <f>IF(원자료!O42="","미확인",원자료!O42)</f>
        <v/>
      </c>
      <c r="O36" s="96" t="n">
        <v>12.8</v>
      </c>
      <c r="P36" s="96" t="n">
        <v>9.5</v>
      </c>
      <c r="Q36" s="24" t="inlineStr">
        <is>
          <t>기존 / 원표 기준</t>
        </is>
      </c>
      <c r="R36" s="1" t="n"/>
      <c r="S36" s="1" t="n"/>
    </row>
    <row r="37" ht="21.95" customHeight="1">
      <c r="A37" s="18" t="n">
        <v>43</v>
      </c>
      <c r="B37" s="29" t="inlineStr">
        <is>
          <t>네오티스</t>
        </is>
      </c>
      <c r="C37" s="105" t="inlineStr">
        <is>
          <t>085910</t>
        </is>
      </c>
      <c r="D37" s="106">
        <f>원자료!I94</f>
        <v/>
      </c>
      <c r="E37" s="106">
        <f>D37*원자료!J94/100000000</f>
        <v/>
      </c>
      <c r="F37" s="107">
        <f>IF(원자료!T94="","미확인",원자료!T94)</f>
        <v/>
      </c>
      <c r="G37" s="106">
        <f>IF(원자료!D94="","미확인",원자료!D94)</f>
        <v/>
      </c>
      <c r="H37" s="108">
        <f>IF(AND(ISNUMBER(F37),ISNUMBER(G37)),IF(F37=0,IF(G37&gt;0,"흑자전환",IF(G37=0,"손익분기","미확인")),IF(F37&lt;0,IF(G37&gt;0,"흑자전환",IF(G37=0,"손익분기","적자지속")),IF(G37&lt;0,"적자전환",IF(G37=0,-1,G37/F37-1)))),"미확인")</f>
        <v/>
      </c>
      <c r="I37" s="107">
        <f>IF(원자료!U94="","미확인",원자료!U94)</f>
        <v/>
      </c>
      <c r="J37" s="106">
        <f>IF(원자료!E94="","미확인",원자료!E94)</f>
        <v/>
      </c>
      <c r="K37" s="108">
        <f>IF(AND(ISNUMBER(I37),ISNUMBER(J37)),IF(I37=0,IF(J37&gt;0,"흑자전환",IF(J37=0,"손익분기","미확인")),IF(I37&lt;0,IF(J37&gt;0,"흑자전환",IF(J37=0,"손익분기","적자지속")),IF(J37&lt;0,"적자전환",IF(J37=0,-1,J37/I37-1)))),"미확인")</f>
        <v/>
      </c>
      <c r="L37" s="109">
        <f>IF(ISNUMBER(G37),IF(G37&gt;0,E37/G37,"적자"),"미산출")</f>
        <v/>
      </c>
      <c r="M37" s="110">
        <f>IF(ISNUMBER(J37),IF(J37&gt;0,E37/J37,"적자"),"미산출")</f>
        <v/>
      </c>
      <c r="N37" s="111">
        <f>IF(원자료!O94="","미확인",원자료!O94)</f>
        <v/>
      </c>
      <c r="O37" s="110" t="n"/>
      <c r="P37" s="110" t="n"/>
      <c r="Q37" s="29" t="inlineStr">
        <is>
          <t>추가 / 지배순이익</t>
        </is>
      </c>
      <c r="R37" s="1" t="n"/>
      <c r="S37" s="1" t="n"/>
    </row>
    <row r="38" ht="21.95" customHeight="1">
      <c r="A38" s="51" t="n">
        <v>50</v>
      </c>
      <c r="B38" s="52" t="inlineStr">
        <is>
          <t>심텍</t>
        </is>
      </c>
      <c r="C38" s="119" t="inlineStr">
        <is>
          <t>222800</t>
        </is>
      </c>
      <c r="D38" s="120">
        <f>원자료!I58</f>
        <v/>
      </c>
      <c r="E38" s="120">
        <f>D38*원자료!J58/100000000</f>
        <v/>
      </c>
      <c r="F38" s="121">
        <f>IF(원자료!T58="","미확인",원자료!T58)</f>
        <v/>
      </c>
      <c r="G38" s="120">
        <f>IF(원자료!D58="","미확인",원자료!D58)</f>
        <v/>
      </c>
      <c r="H38" s="122">
        <f>IF(AND(ISNUMBER(F38),ISNUMBER(G38)),IF(F38=0,IF(G38&gt;0,"흑자전환",IF(G38=0,"손익분기","미확인")),IF(F38&lt;0,IF(G38&gt;0,"흑자전환",IF(G38=0,"손익분기","적자지속")),IF(G38&lt;0,"적자전환",IF(G38=0,-1,G38/F38-1)))),"미확인")</f>
        <v/>
      </c>
      <c r="I38" s="121">
        <f>IF(원자료!U58="","미확인",원자료!U58)</f>
        <v/>
      </c>
      <c r="J38" s="120">
        <f>IF(원자료!E58="","미확인",원자료!E58)</f>
        <v/>
      </c>
      <c r="K38" s="122">
        <f>IF(AND(ISNUMBER(I38),ISNUMBER(J38)),IF(I38=0,IF(J38&gt;0,"흑자전환",IF(J38=0,"손익분기","미확인")),IF(I38&lt;0,IF(J38&gt;0,"흑자전환",IF(J38=0,"손익분기","적자지속")),IF(J38&lt;0,"적자전환",IF(J38=0,-1,J38/I38-1)))),"미확인")</f>
        <v/>
      </c>
      <c r="L38" s="123">
        <f>IF(ISNUMBER(G38),IF(G38&gt;0,E38/G38,"적자"),"미산출")</f>
        <v/>
      </c>
      <c r="M38" s="124">
        <f>IF(ISNUMBER(J38),IF(J38&gt;0,E38/J38,"적자"),"미산출")</f>
        <v/>
      </c>
      <c r="N38" s="125">
        <f>IF(원자료!O58="","미확인",원자료!O58)</f>
        <v/>
      </c>
      <c r="O38" s="124" t="n">
        <v>17.6</v>
      </c>
      <c r="P38" s="124" t="n">
        <v>13.6</v>
      </c>
      <c r="Q38" s="52" t="inlineStr">
        <is>
          <t>기존 / 원표 기준</t>
        </is>
      </c>
      <c r="R38" s="1" t="n"/>
      <c r="S38" s="1" t="n"/>
    </row>
    <row r="39" ht="21.95" customHeight="1">
      <c r="A39" s="18" t="n">
        <v>85</v>
      </c>
      <c r="B39" s="29" t="inlineStr">
        <is>
          <t>RF머트리얼즈</t>
        </is>
      </c>
      <c r="C39" s="105" t="inlineStr">
        <is>
          <t>327260</t>
        </is>
      </c>
      <c r="D39" s="106">
        <f>원자료!I96</f>
        <v/>
      </c>
      <c r="E39" s="106">
        <f>D39*원자료!J96/100000000</f>
        <v/>
      </c>
      <c r="F39" s="107">
        <f>IF(원자료!T96="","미확인",원자료!T96)</f>
        <v/>
      </c>
      <c r="G39" s="106">
        <f>IF(원자료!D96="","미확인",원자료!D96)</f>
        <v/>
      </c>
      <c r="H39" s="108">
        <f>IF(AND(ISNUMBER(F39),ISNUMBER(G39)),IF(F39=0,IF(G39&gt;0,"흑자전환",IF(G39=0,"손익분기","미확인")),IF(F39&lt;0,IF(G39&gt;0,"흑자전환",IF(G39=0,"손익분기","적자지속")),IF(G39&lt;0,"적자전환",IF(G39=0,-1,G39/F39-1)))),"미확인")</f>
        <v/>
      </c>
      <c r="I39" s="107">
        <f>IF(원자료!U96="","미확인",원자료!U96)</f>
        <v/>
      </c>
      <c r="J39" s="106">
        <f>IF(원자료!E96="","미확인",원자료!E96)</f>
        <v/>
      </c>
      <c r="K39" s="108">
        <f>IF(AND(ISNUMBER(I39),ISNUMBER(J39)),IF(I39=0,IF(J39&gt;0,"흑자전환",IF(J39=0,"손익분기","미확인")),IF(I39&lt;0,IF(J39&gt;0,"흑자전환",IF(J39=0,"손익분기","적자지속")),IF(J39&lt;0,"적자전환",IF(J39=0,-1,J39/I39-1)))),"미확인")</f>
        <v/>
      </c>
      <c r="L39" s="109">
        <f>IF(ISNUMBER(G39),IF(G39&gt;0,E39/G39,"적자"),"미산출")</f>
        <v/>
      </c>
      <c r="M39" s="110">
        <f>IF(ISNUMBER(J39),IF(J39&gt;0,E39/J39,"적자"),"미산출")</f>
        <v/>
      </c>
      <c r="N39" s="111">
        <f>IF(원자료!O96="","미확인",원자료!O96)</f>
        <v/>
      </c>
      <c r="O39" s="110" t="n"/>
      <c r="P39" s="110" t="n"/>
      <c r="Q39" s="29" t="inlineStr">
        <is>
          <t>추가 / 지배순이익</t>
        </is>
      </c>
      <c r="R39" s="1" t="n"/>
      <c r="S39" s="1" t="n"/>
    </row>
    <row r="40" ht="21.95" customHeight="1">
      <c r="A40" s="18" t="n">
        <v>7</v>
      </c>
      <c r="B40" s="19" t="inlineStr">
        <is>
          <t>에프엔에스테크</t>
        </is>
      </c>
      <c r="C40" s="112" t="inlineStr">
        <is>
          <t>083500</t>
        </is>
      </c>
      <c r="D40" s="113">
        <f>원자료!I15</f>
        <v/>
      </c>
      <c r="E40" s="113">
        <f>D40*원자료!J15/100000000</f>
        <v/>
      </c>
      <c r="F40" s="114">
        <f>IF(원자료!T15="","미확인",원자료!T15)</f>
        <v/>
      </c>
      <c r="G40" s="113">
        <f>IF(원자료!D15="","미확인",원자료!D15)</f>
        <v/>
      </c>
      <c r="H40" s="115">
        <f>IF(AND(ISNUMBER(F40),ISNUMBER(G40)),IF(F40=0,IF(G40&gt;0,"흑자전환",IF(G40=0,"손익분기","미확인")),IF(F40&lt;0,IF(G40&gt;0,"흑자전환",IF(G40=0,"손익분기","적자지속")),IF(G40&lt;0,"적자전환",IF(G40=0,-1,G40/F40-1)))),"미확인")</f>
        <v/>
      </c>
      <c r="I40" s="114">
        <f>IF(원자료!U15="","미확인",원자료!U15)</f>
        <v/>
      </c>
      <c r="J40" s="113">
        <f>IF(원자료!E15="","미확인",원자료!E15)</f>
        <v/>
      </c>
      <c r="K40" s="115">
        <f>IF(AND(ISNUMBER(I40),ISNUMBER(J40)),IF(I40=0,IF(J40&gt;0,"흑자전환",IF(J40=0,"손익분기","미확인")),IF(I40&lt;0,IF(J40&gt;0,"흑자전환",IF(J40=0,"손익분기","적자지속")),IF(J40&lt;0,"적자전환",IF(J40=0,-1,J40/I40-1)))),"미확인")</f>
        <v/>
      </c>
      <c r="L40" s="116">
        <f>IF(ISNUMBER(G40),IF(G40&gt;0,E40/G40,"적자"),"미산출")</f>
        <v/>
      </c>
      <c r="M40" s="117">
        <f>IF(ISNUMBER(J40),IF(J40&gt;0,E40/J40,"적자"),"미산출")</f>
        <v/>
      </c>
      <c r="N40" s="118">
        <f>IF(원자료!O15="","미확인",원자료!O15)</f>
        <v/>
      </c>
      <c r="O40" s="117" t="n">
        <v>6.4</v>
      </c>
      <c r="P40" s="117" t="n">
        <v>4.3</v>
      </c>
      <c r="Q40" s="19" t="inlineStr">
        <is>
          <t>기존 / †</t>
        </is>
      </c>
      <c r="R40" s="1" t="n"/>
      <c r="S40" s="1" t="n"/>
    </row>
    <row r="41" ht="21.95" customHeight="1">
      <c r="A41" s="51" t="n">
        <v>3</v>
      </c>
      <c r="B41" s="68" t="inlineStr">
        <is>
          <t>엠케이전자</t>
        </is>
      </c>
      <c r="C41" s="84" t="inlineStr">
        <is>
          <t>033160</t>
        </is>
      </c>
      <c r="D41" s="85">
        <f>원자료!I12</f>
        <v/>
      </c>
      <c r="E41" s="85">
        <f>D41*원자료!J12/100000000</f>
        <v/>
      </c>
      <c r="F41" s="86">
        <f>IF(원자료!T12="","미확인",원자료!T12)</f>
        <v/>
      </c>
      <c r="G41" s="85">
        <f>IF(원자료!D12="","미확인",원자료!D12)</f>
        <v/>
      </c>
      <c r="H41" s="87">
        <f>IF(AND(ISNUMBER(F41),ISNUMBER(G41)),IF(F41=0,IF(G41&gt;0,"흑자전환",IF(G41=0,"손익분기","미확인")),IF(F41&lt;0,IF(G41&gt;0,"흑자전환",IF(G41=0,"손익분기","적자지속")),IF(G41&lt;0,"적자전환",IF(G41=0,-1,G41/F41-1)))),"미확인")</f>
        <v/>
      </c>
      <c r="I41" s="86">
        <f>IF(원자료!U12="","미확인",원자료!U12)</f>
        <v/>
      </c>
      <c r="J41" s="85">
        <f>IF(원자료!E12="","미확인",원자료!E12)</f>
        <v/>
      </c>
      <c r="K41" s="87">
        <f>IF(AND(ISNUMBER(I41),ISNUMBER(J41)),IF(I41=0,IF(J41&gt;0,"흑자전환",IF(J41=0,"손익분기","미확인")),IF(I41&lt;0,IF(J41&gt;0,"흑자전환",IF(J41=0,"손익분기","적자지속")),IF(J41&lt;0,"적자전환",IF(J41=0,-1,J41/I41-1)))),"미확인")</f>
        <v/>
      </c>
      <c r="L41" s="88">
        <f>IF(ISNUMBER(G41),IF(G41&gt;0,E41/G41,"적자"),"미산출")</f>
        <v/>
      </c>
      <c r="M41" s="89">
        <f>IF(ISNUMBER(J41),IF(J41&gt;0,E41/J41,"적자"),"미산출")</f>
        <v/>
      </c>
      <c r="N41" s="90">
        <f>IF(원자료!O12="","미확인",원자료!O12)</f>
        <v/>
      </c>
      <c r="O41" s="89" t="n">
        <v>4.3</v>
      </c>
      <c r="P41" s="89" t="n">
        <v>2.6</v>
      </c>
      <c r="Q41" s="68" t="inlineStr">
        <is>
          <t>기존 / †</t>
        </is>
      </c>
      <c r="R41" s="1" t="n"/>
      <c r="S41" s="1" t="n"/>
    </row>
    <row r="42" ht="21.95" customHeight="1">
      <c r="A42" s="18" t="n">
        <v>22</v>
      </c>
      <c r="B42" s="24" t="inlineStr">
        <is>
          <t>코세스</t>
        </is>
      </c>
      <c r="C42" s="91" t="inlineStr">
        <is>
          <t>089890</t>
        </is>
      </c>
      <c r="D42" s="92">
        <f>원자료!I28</f>
        <v/>
      </c>
      <c r="E42" s="92">
        <f>D42*원자료!J28/100000000</f>
        <v/>
      </c>
      <c r="F42" s="93">
        <f>IF(원자료!T28="","미확인",원자료!T28)</f>
        <v/>
      </c>
      <c r="G42" s="92">
        <f>IF(원자료!D28="","미확인",원자료!D28)</f>
        <v/>
      </c>
      <c r="H42" s="94">
        <f>IF(AND(ISNUMBER(F42),ISNUMBER(G42)),IF(F42=0,IF(G42&gt;0,"흑자전환",IF(G42=0,"손익분기","미확인")),IF(F42&lt;0,IF(G42&gt;0,"흑자전환",IF(G42=0,"손익분기","적자지속")),IF(G42&lt;0,"적자전환",IF(G42=0,-1,G42/F42-1)))),"미확인")</f>
        <v/>
      </c>
      <c r="I42" s="93">
        <f>IF(원자료!U28="","미확인",원자료!U28)</f>
        <v/>
      </c>
      <c r="J42" s="92">
        <f>IF(원자료!E28="","미확인",원자료!E28)</f>
        <v/>
      </c>
      <c r="K42" s="94">
        <f>IF(AND(ISNUMBER(I42),ISNUMBER(J42)),IF(I42=0,IF(J42&gt;0,"흑자전환",IF(J42=0,"손익분기","미확인")),IF(I42&lt;0,IF(J42&gt;0,"흑자전환",IF(J42=0,"손익분기","적자지속")),IF(J42&lt;0,"적자전환",IF(J42=0,-1,J42/I42-1)))),"미확인")</f>
        <v/>
      </c>
      <c r="L42" s="95">
        <f>IF(ISNUMBER(G42),IF(G42&gt;0,E42/G42,"적자"),"미산출")</f>
        <v/>
      </c>
      <c r="M42" s="96">
        <f>IF(ISNUMBER(J42),IF(J42&gt;0,E42/J42,"적자"),"미산출")</f>
        <v/>
      </c>
      <c r="N42" s="97">
        <f>IF(원자료!O28="","미확인",원자료!O28)</f>
        <v/>
      </c>
      <c r="O42" s="96" t="n">
        <v>9.5</v>
      </c>
      <c r="P42" s="96" t="n">
        <v>7.9</v>
      </c>
      <c r="Q42" s="24" t="inlineStr">
        <is>
          <t>기존 / 원표 기준</t>
        </is>
      </c>
      <c r="R42" s="1" t="n"/>
      <c r="S42" s="1" t="n"/>
    </row>
    <row r="43" ht="21.95" customHeight="1">
      <c r="A43" s="18" t="n">
        <v>40</v>
      </c>
      <c r="B43" s="24" t="inlineStr">
        <is>
          <t>네패스</t>
        </is>
      </c>
      <c r="C43" s="91" t="inlineStr">
        <is>
          <t>033640</t>
        </is>
      </c>
      <c r="D43" s="92">
        <f>원자료!I53</f>
        <v/>
      </c>
      <c r="E43" s="92">
        <f>D43*원자료!J53/100000000</f>
        <v/>
      </c>
      <c r="F43" s="93">
        <f>IF(원자료!T53="","미확인",원자료!T53)</f>
        <v/>
      </c>
      <c r="G43" s="92">
        <f>IF(원자료!D53="","미확인",원자료!D53)</f>
        <v/>
      </c>
      <c r="H43" s="94">
        <f>IF(AND(ISNUMBER(F43),ISNUMBER(G43)),IF(F43=0,IF(G43&gt;0,"흑자전환",IF(G43=0,"손익분기","미확인")),IF(F43&lt;0,IF(G43&gt;0,"흑자전환",IF(G43=0,"손익분기","적자지속")),IF(G43&lt;0,"적자전환",IF(G43=0,-1,G43/F43-1)))),"미확인")</f>
        <v/>
      </c>
      <c r="I43" s="93">
        <f>IF(원자료!U53="","미확인",원자료!U53)</f>
        <v/>
      </c>
      <c r="J43" s="92">
        <f>IF(원자료!E53="","미확인",원자료!E53)</f>
        <v/>
      </c>
      <c r="K43" s="94">
        <f>IF(AND(ISNUMBER(I43),ISNUMBER(J43)),IF(I43=0,IF(J43&gt;0,"흑자전환",IF(J43=0,"손익분기","미확인")),IF(I43&lt;0,IF(J43&gt;0,"흑자전환",IF(J43=0,"손익분기","적자지속")),IF(J43&lt;0,"적자전환",IF(J43=0,-1,J43/I43-1)))),"미확인")</f>
        <v/>
      </c>
      <c r="L43" s="95">
        <f>IF(ISNUMBER(G43),IF(G43&gt;0,E43/G43,"적자"),"미산출")</f>
        <v/>
      </c>
      <c r="M43" s="96">
        <f>IF(ISNUMBER(J43),IF(J43&gt;0,E43/J43,"적자"),"미산출")</f>
        <v/>
      </c>
      <c r="N43" s="97">
        <f>IF(원자료!O53="","미확인",원자료!O53)</f>
        <v/>
      </c>
      <c r="O43" s="96" t="n">
        <v>14.6</v>
      </c>
      <c r="P43" s="96" t="n">
        <v>8.4</v>
      </c>
      <c r="Q43" s="24" t="inlineStr">
        <is>
          <t>기존 / †</t>
        </is>
      </c>
      <c r="R43" s="1" t="n"/>
      <c r="S43" s="1" t="n"/>
    </row>
    <row r="44" ht="21.95" customHeight="1">
      <c r="A44" s="18" t="n">
        <v>14</v>
      </c>
      <c r="B44" s="24" t="inlineStr">
        <is>
          <t>엘티씨</t>
        </is>
      </c>
      <c r="C44" s="91" t="inlineStr">
        <is>
          <t>170920</t>
        </is>
      </c>
      <c r="D44" s="92">
        <f>원자료!I25</f>
        <v/>
      </c>
      <c r="E44" s="92">
        <f>D44*원자료!J25/100000000</f>
        <v/>
      </c>
      <c r="F44" s="93">
        <f>IF(원자료!T25="","미확인",원자료!T25)</f>
        <v/>
      </c>
      <c r="G44" s="92">
        <f>IF(원자료!D25="","미확인",원자료!D25)</f>
        <v/>
      </c>
      <c r="H44" s="94">
        <f>IF(AND(ISNUMBER(F44),ISNUMBER(G44)),IF(F44=0,IF(G44&gt;0,"흑자전환",IF(G44=0,"손익분기","미확인")),IF(F44&lt;0,IF(G44&gt;0,"흑자전환",IF(G44=0,"손익분기","적자지속")),IF(G44&lt;0,"적자전환",IF(G44=0,-1,G44/F44-1)))),"미확인")</f>
        <v/>
      </c>
      <c r="I44" s="93">
        <f>IF(원자료!U25="","미확인",원자료!U25)</f>
        <v/>
      </c>
      <c r="J44" s="92">
        <f>IF(원자료!E25="","미확인",원자료!E25)</f>
        <v/>
      </c>
      <c r="K44" s="94">
        <f>IF(AND(ISNUMBER(I44),ISNUMBER(J44)),IF(I44=0,IF(J44&gt;0,"흑자전환",IF(J44=0,"손익분기","미확인")),IF(I44&lt;0,IF(J44&gt;0,"흑자전환",IF(J44=0,"손익분기","적자지속")),IF(J44&lt;0,"적자전환",IF(J44=0,-1,J44/I44-1)))),"미확인")</f>
        <v/>
      </c>
      <c r="L44" s="95">
        <f>IF(ISNUMBER(G44),IF(G44&gt;0,E44/G44,"적자"),"미산출")</f>
        <v/>
      </c>
      <c r="M44" s="96">
        <f>IF(ISNUMBER(J44),IF(J44&gt;0,E44/J44,"적자"),"미산출")</f>
        <v/>
      </c>
      <c r="N44" s="97">
        <f>IF(원자료!O25="","미확인",원자료!O25)</f>
        <v/>
      </c>
      <c r="O44" s="96" t="n">
        <v>8.800000000000001</v>
      </c>
      <c r="P44" s="96" t="n">
        <v>3.5</v>
      </c>
      <c r="Q44" s="24" t="inlineStr">
        <is>
          <t>기존 / †</t>
        </is>
      </c>
      <c r="R44" s="1" t="n"/>
      <c r="S44" s="1" t="n"/>
    </row>
    <row r="45" ht="21.95" customHeight="1">
      <c r="A45" s="51" t="n">
        <v>51</v>
      </c>
      <c r="B45" s="68" t="inlineStr">
        <is>
          <t>엑시콘</t>
        </is>
      </c>
      <c r="C45" s="84" t="inlineStr">
        <is>
          <t>092870</t>
        </is>
      </c>
      <c r="D45" s="85">
        <f>원자료!I59</f>
        <v/>
      </c>
      <c r="E45" s="85">
        <f>D45*원자료!J59/100000000</f>
        <v/>
      </c>
      <c r="F45" s="86">
        <f>IF(원자료!T59="","미확인",원자료!T59)</f>
        <v/>
      </c>
      <c r="G45" s="85">
        <f>IF(원자료!D59="","미확인",원자료!D59)</f>
        <v/>
      </c>
      <c r="H45" s="87">
        <f>IF(AND(ISNUMBER(F45),ISNUMBER(G45)),IF(F45=0,IF(G45&gt;0,"흑자전환",IF(G45=0,"손익분기","미확인")),IF(F45&lt;0,IF(G45&gt;0,"흑자전환",IF(G45=0,"손익분기","적자지속")),IF(G45&lt;0,"적자전환",IF(G45=0,-1,G45/F45-1)))),"미확인")</f>
        <v/>
      </c>
      <c r="I45" s="86">
        <f>IF(원자료!U59="","미확인",원자료!U59)</f>
        <v/>
      </c>
      <c r="J45" s="85">
        <f>IF(원자료!E59="","미확인",원자료!E59)</f>
        <v/>
      </c>
      <c r="K45" s="87">
        <f>IF(AND(ISNUMBER(I45),ISNUMBER(J45)),IF(I45=0,IF(J45&gt;0,"흑자전환",IF(J45=0,"손익분기","미확인")),IF(I45&lt;0,IF(J45&gt;0,"흑자전환",IF(J45=0,"손익분기","적자지속")),IF(J45&lt;0,"적자전환",IF(J45=0,-1,J45/I45-1)))),"미확인")</f>
        <v/>
      </c>
      <c r="L45" s="88">
        <f>IF(ISNUMBER(G45),IF(G45&gt;0,E45/G45,"적자"),"미산출")</f>
        <v/>
      </c>
      <c r="M45" s="89">
        <f>IF(ISNUMBER(J45),IF(J45&gt;0,E45/J45,"적자"),"미산출")</f>
        <v/>
      </c>
      <c r="N45" s="90">
        <f>IF(원자료!O59="","미확인",원자료!O59)</f>
        <v/>
      </c>
      <c r="O45" s="89" t="n">
        <v>17.8</v>
      </c>
      <c r="P45" s="89" t="n">
        <v>17.9</v>
      </c>
      <c r="Q45" s="68" t="inlineStr">
        <is>
          <t>기존 / 원표 기준</t>
        </is>
      </c>
      <c r="R45" s="1" t="n"/>
      <c r="S45" s="1" t="n"/>
    </row>
    <row r="46" ht="21.95" customHeight="1">
      <c r="A46" s="51" t="n">
        <v>57</v>
      </c>
      <c r="B46" s="68" t="inlineStr">
        <is>
          <t>이수페타시스</t>
        </is>
      </c>
      <c r="C46" s="84" t="inlineStr">
        <is>
          <t>007660</t>
        </is>
      </c>
      <c r="D46" s="85">
        <f>원자료!I69</f>
        <v/>
      </c>
      <c r="E46" s="85">
        <f>D46*원자료!J69/100000000</f>
        <v/>
      </c>
      <c r="F46" s="86">
        <f>IF(원자료!T69="","미확인",원자료!T69)</f>
        <v/>
      </c>
      <c r="G46" s="85">
        <f>IF(원자료!D69="","미확인",원자료!D69)</f>
        <v/>
      </c>
      <c r="H46" s="87">
        <f>IF(AND(ISNUMBER(F46),ISNUMBER(G46)),IF(F46=0,IF(G46&gt;0,"흑자전환",IF(G46=0,"손익분기","미확인")),IF(F46&lt;0,IF(G46&gt;0,"흑자전환",IF(G46=0,"손익분기","적자지속")),IF(G46&lt;0,"적자전환",IF(G46=0,-1,G46/F46-1)))),"미확인")</f>
        <v/>
      </c>
      <c r="I46" s="86">
        <f>IF(원자료!U69="","미확인",원자료!U69)</f>
        <v/>
      </c>
      <c r="J46" s="85">
        <f>IF(원자료!E69="","미확인",원자료!E69)</f>
        <v/>
      </c>
      <c r="K46" s="87">
        <f>IF(AND(ISNUMBER(I46),ISNUMBER(J46)),IF(I46=0,IF(J46&gt;0,"흑자전환",IF(J46=0,"손익분기","미확인")),IF(I46&lt;0,IF(J46&gt;0,"흑자전환",IF(J46=0,"손익분기","적자지속")),IF(J46&lt;0,"적자전환",IF(J46=0,-1,J46/I46-1)))),"미확인")</f>
        <v/>
      </c>
      <c r="L46" s="88">
        <f>IF(ISNUMBER(G46),IF(G46&gt;0,E46/G46,"적자"),"미산출")</f>
        <v/>
      </c>
      <c r="M46" s="89">
        <f>IF(ISNUMBER(J46),IF(J46&gt;0,E46/J46,"적자"),"미산출")</f>
        <v/>
      </c>
      <c r="N46" s="90">
        <f>IF(원자료!O69="","미확인",원자료!O69)</f>
        <v/>
      </c>
      <c r="O46" s="89" t="n">
        <v>20.9</v>
      </c>
      <c r="P46" s="89" t="n">
        <v>16.8</v>
      </c>
      <c r="Q46" s="68" t="inlineStr">
        <is>
          <t>기존 / 원표 기준</t>
        </is>
      </c>
      <c r="R46" s="1" t="n"/>
      <c r="S46" s="1" t="n"/>
    </row>
    <row r="47" ht="21.95" customHeight="1">
      <c r="A47" s="18" t="n">
        <v>71</v>
      </c>
      <c r="B47" s="19" t="inlineStr">
        <is>
          <t>에이직랜드</t>
        </is>
      </c>
      <c r="C47" s="112" t="inlineStr">
        <is>
          <t>445090</t>
        </is>
      </c>
      <c r="D47" s="113">
        <f>원자료!I78</f>
        <v/>
      </c>
      <c r="E47" s="113">
        <f>D47*원자료!J78/100000000</f>
        <v/>
      </c>
      <c r="F47" s="114">
        <f>IF(원자료!T78="","미확인",원자료!T78)</f>
        <v/>
      </c>
      <c r="G47" s="113">
        <f>IF(원자료!D78="","미확인",원자료!D78)</f>
        <v/>
      </c>
      <c r="H47" s="115">
        <f>IF(AND(ISNUMBER(F47),ISNUMBER(G47)),IF(F47=0,IF(G47&gt;0,"흑자전환",IF(G47=0,"손익분기","미확인")),IF(F47&lt;0,IF(G47&gt;0,"흑자전환",IF(G47=0,"손익분기","적자지속")),IF(G47&lt;0,"적자전환",IF(G47=0,-1,G47/F47-1)))),"미확인")</f>
        <v/>
      </c>
      <c r="I47" s="114">
        <f>IF(원자료!U78="","미확인",원자료!U78)</f>
        <v/>
      </c>
      <c r="J47" s="113">
        <f>IF(원자료!E78="","미확인",원자료!E78)</f>
        <v/>
      </c>
      <c r="K47" s="115">
        <f>IF(AND(ISNUMBER(I47),ISNUMBER(J47)),IF(I47=0,IF(J47&gt;0,"흑자전환",IF(J47=0,"손익분기","미확인")),IF(I47&lt;0,IF(J47&gt;0,"흑자전환",IF(J47=0,"손익분기","적자지속")),IF(J47&lt;0,"적자전환",IF(J47=0,-1,J47/I47-1)))),"미확인")</f>
        <v/>
      </c>
      <c r="L47" s="116">
        <f>IF(ISNUMBER(G47),IF(G47&gt;0,E47/G47,"적자"),"미산출")</f>
        <v/>
      </c>
      <c r="M47" s="117">
        <f>IF(ISNUMBER(J47),IF(J47&gt;0,E47/J47,"적자"),"미산출")</f>
        <v/>
      </c>
      <c r="N47" s="118">
        <f>IF(원자료!O78="","미확인",원자료!O78)</f>
        <v/>
      </c>
      <c r="O47" s="117" t="n">
        <v>25.4</v>
      </c>
      <c r="P47" s="117" t="n">
        <v>25.4</v>
      </c>
      <c r="Q47" s="19" t="inlineStr">
        <is>
          <t>기존 / 원표 기준</t>
        </is>
      </c>
      <c r="R47" s="1" t="n"/>
      <c r="S47" s="1" t="n"/>
    </row>
    <row r="48" ht="21.95" customHeight="1">
      <c r="A48" s="18" t="n">
        <v>83</v>
      </c>
      <c r="B48" s="19" t="inlineStr">
        <is>
          <t>이오테크닉스</t>
        </is>
      </c>
      <c r="C48" s="112" t="inlineStr">
        <is>
          <t>039030</t>
        </is>
      </c>
      <c r="D48" s="113">
        <f>원자료!I89</f>
        <v/>
      </c>
      <c r="E48" s="113">
        <f>D48*원자료!J89/100000000</f>
        <v/>
      </c>
      <c r="F48" s="114">
        <f>IF(원자료!T89="","미확인",원자료!T89)</f>
        <v/>
      </c>
      <c r="G48" s="113">
        <f>IF(원자료!D89="","미확인",원자료!D89)</f>
        <v/>
      </c>
      <c r="H48" s="115">
        <f>IF(AND(ISNUMBER(F48),ISNUMBER(G48)),IF(F48=0,IF(G48&gt;0,"흑자전환",IF(G48=0,"손익분기","미확인")),IF(F48&lt;0,IF(G48&gt;0,"흑자전환",IF(G48=0,"손익분기","적자지속")),IF(G48&lt;0,"적자전환",IF(G48=0,-1,G48/F48-1)))),"미확인")</f>
        <v/>
      </c>
      <c r="I48" s="114">
        <f>IF(원자료!U89="","미확인",원자료!U89)</f>
        <v/>
      </c>
      <c r="J48" s="113">
        <f>IF(원자료!E89="","미확인",원자료!E89)</f>
        <v/>
      </c>
      <c r="K48" s="115">
        <f>IF(AND(ISNUMBER(I48),ISNUMBER(J48)),IF(I48=0,IF(J48&gt;0,"흑자전환",IF(J48=0,"손익분기","미확인")),IF(I48&lt;0,IF(J48&gt;0,"흑자전환",IF(J48=0,"손익분기","적자지속")),IF(J48&lt;0,"적자전환",IF(J48=0,-1,J48/I48-1)))),"미확인")</f>
        <v/>
      </c>
      <c r="L48" s="116">
        <f>IF(ISNUMBER(G48),IF(G48&gt;0,E48/G48,"적자"),"미산출")</f>
        <v/>
      </c>
      <c r="M48" s="117">
        <f>IF(ISNUMBER(J48),IF(J48&gt;0,E48/J48,"적자"),"미산출")</f>
        <v/>
      </c>
      <c r="N48" s="118">
        <f>IF(원자료!O89="","미확인",원자료!O89)</f>
        <v/>
      </c>
      <c r="O48" s="117" t="n">
        <v>35.9</v>
      </c>
      <c r="P48" s="117" t="n">
        <v>29.4</v>
      </c>
      <c r="Q48" s="19" t="inlineStr">
        <is>
          <t>기존 / 원표 기준</t>
        </is>
      </c>
      <c r="R48" s="1" t="n"/>
      <c r="S48" s="1" t="n"/>
    </row>
    <row r="49" ht="21.95" customHeight="1">
      <c r="A49" s="51" t="n">
        <v>19</v>
      </c>
      <c r="B49" s="68" t="inlineStr">
        <is>
          <t>저스템</t>
        </is>
      </c>
      <c r="C49" s="84" t="inlineStr">
        <is>
          <t>417840</t>
        </is>
      </c>
      <c r="D49" s="85">
        <f>원자료!I32</f>
        <v/>
      </c>
      <c r="E49" s="85">
        <f>D49*원자료!J32/100000000</f>
        <v/>
      </c>
      <c r="F49" s="86">
        <f>IF(원자료!T32="","미확인",원자료!T32)</f>
        <v/>
      </c>
      <c r="G49" s="85">
        <f>IF(원자료!D32="","미확인",원자료!D32)</f>
        <v/>
      </c>
      <c r="H49" s="87">
        <f>IF(AND(ISNUMBER(F49),ISNUMBER(G49)),IF(F49=0,IF(G49&gt;0,"흑자전환",IF(G49=0,"손익분기","미확인")),IF(F49&lt;0,IF(G49&gt;0,"흑자전환",IF(G49=0,"손익분기","적자지속")),IF(G49&lt;0,"적자전환",IF(G49=0,-1,G49/F49-1)))),"미확인")</f>
        <v/>
      </c>
      <c r="I49" s="86">
        <f>IF(원자료!U32="","미확인",원자료!U32)</f>
        <v/>
      </c>
      <c r="J49" s="85">
        <f>IF(원자료!E32="","미확인",원자료!E32)</f>
        <v/>
      </c>
      <c r="K49" s="87">
        <f>IF(AND(ISNUMBER(I49),ISNUMBER(J49)),IF(I49=0,IF(J49&gt;0,"흑자전환",IF(J49=0,"손익분기","미확인")),IF(I49&lt;0,IF(J49&gt;0,"흑자전환",IF(J49=0,"손익분기","적자지속")),IF(J49&lt;0,"적자전환",IF(J49=0,-1,J49/I49-1)))),"미확인")</f>
        <v/>
      </c>
      <c r="L49" s="88">
        <f>IF(ISNUMBER(G49),IF(G49&gt;0,E49/G49,"적자"),"미산출")</f>
        <v/>
      </c>
      <c r="M49" s="89">
        <f>IF(ISNUMBER(J49),IF(J49&gt;0,E49/J49,"적자"),"미산출")</f>
        <v/>
      </c>
      <c r="N49" s="90">
        <f>IF(원자료!O32="","미확인",원자료!O32)</f>
        <v/>
      </c>
      <c r="O49" s="89" t="n">
        <v>10.2</v>
      </c>
      <c r="P49" s="89" t="n">
        <v>8.699999999999999</v>
      </c>
      <c r="Q49" s="68" t="inlineStr">
        <is>
          <t>기존 / 원표 기준</t>
        </is>
      </c>
      <c r="R49" s="1" t="n"/>
      <c r="S49" s="1" t="n"/>
    </row>
    <row r="50" ht="21.95" customHeight="1">
      <c r="A50" s="18" t="n">
        <v>1</v>
      </c>
      <c r="B50" s="19" t="inlineStr">
        <is>
          <t>삼성전자</t>
        </is>
      </c>
      <c r="C50" s="112" t="inlineStr">
        <is>
          <t>005930</t>
        </is>
      </c>
      <c r="D50" s="113">
        <f>원자료!I10</f>
        <v/>
      </c>
      <c r="E50" s="113">
        <f>D50*원자료!J10/100000000</f>
        <v/>
      </c>
      <c r="F50" s="114">
        <f>IF(원자료!T10="","미확인",원자료!T10)</f>
        <v/>
      </c>
      <c r="G50" s="113">
        <f>IF(원자료!D10="","미확인",원자료!D10)</f>
        <v/>
      </c>
      <c r="H50" s="115">
        <f>IF(AND(ISNUMBER(F50),ISNUMBER(G50)),IF(F50=0,IF(G50&gt;0,"흑자전환",IF(G50=0,"손익분기","미확인")),IF(F50&lt;0,IF(G50&gt;0,"흑자전환",IF(G50=0,"손익분기","적자지속")),IF(G50&lt;0,"적자전환",IF(G50=0,-1,G50/F50-1)))),"미확인")</f>
        <v/>
      </c>
      <c r="I50" s="114">
        <f>IF(원자료!U10="","미확인",원자료!U10)</f>
        <v/>
      </c>
      <c r="J50" s="113">
        <f>IF(원자료!E10="","미확인",원자료!E10)</f>
        <v/>
      </c>
      <c r="K50" s="115">
        <f>IF(AND(ISNUMBER(I50),ISNUMBER(J50)),IF(I50=0,IF(J50&gt;0,"흑자전환",IF(J50=0,"손익분기","미확인")),IF(I50&lt;0,IF(J50&gt;0,"흑자전환",IF(J50=0,"손익분기","적자지속")),IF(J50&lt;0,"적자전환",IF(J50=0,-1,J50/I50-1)))),"미확인")</f>
        <v/>
      </c>
      <c r="L50" s="116">
        <f>IF(ISNUMBER(G50),IF(G50&gt;0,E50/G50,"적자"),"미산출")</f>
        <v/>
      </c>
      <c r="M50" s="117">
        <f>IF(ISNUMBER(J50),IF(J50&gt;0,E50/J50,"적자"),"미산출")</f>
        <v/>
      </c>
      <c r="N50" s="118">
        <f>IF(원자료!O10="","미확인",원자료!O10)</f>
        <v/>
      </c>
      <c r="O50" s="117" t="n">
        <v>3.3</v>
      </c>
      <c r="P50" s="117" t="n">
        <v>2.6</v>
      </c>
      <c r="Q50" s="19" t="inlineStr">
        <is>
          <t>기존 / 원표 기준</t>
        </is>
      </c>
      <c r="R50" s="1" t="n"/>
      <c r="S50" s="1" t="n"/>
    </row>
    <row r="51" ht="21.95" customHeight="1">
      <c r="A51" s="51" t="n">
        <v>48</v>
      </c>
      <c r="B51" s="52" t="inlineStr">
        <is>
          <t>티에프이</t>
        </is>
      </c>
      <c r="C51" s="119" t="inlineStr">
        <is>
          <t>425420</t>
        </is>
      </c>
      <c r="D51" s="120">
        <f>원자료!I55</f>
        <v/>
      </c>
      <c r="E51" s="120">
        <f>D51*원자료!J55/100000000</f>
        <v/>
      </c>
      <c r="F51" s="121">
        <f>IF(원자료!T55="","미확인",원자료!T55)</f>
        <v/>
      </c>
      <c r="G51" s="120">
        <f>IF(원자료!D55="","미확인",원자료!D55)</f>
        <v/>
      </c>
      <c r="H51" s="122">
        <f>IF(AND(ISNUMBER(F51),ISNUMBER(G51)),IF(F51=0,IF(G51&gt;0,"흑자전환",IF(G51=0,"손익분기","미확인")),IF(F51&lt;0,IF(G51&gt;0,"흑자전환",IF(G51=0,"손익분기","적자지속")),IF(G51&lt;0,"적자전환",IF(G51=0,-1,G51/F51-1)))),"미확인")</f>
        <v/>
      </c>
      <c r="I51" s="121">
        <f>IF(원자료!U55="","미확인",원자료!U55)</f>
        <v/>
      </c>
      <c r="J51" s="120">
        <f>IF(원자료!E55="","미확인",원자료!E55)</f>
        <v/>
      </c>
      <c r="K51" s="122">
        <f>IF(AND(ISNUMBER(I51),ISNUMBER(J51)),IF(I51=0,IF(J51&gt;0,"흑자전환",IF(J51=0,"손익분기","미확인")),IF(I51&lt;0,IF(J51&gt;0,"흑자전환",IF(J51=0,"손익분기","적자지속")),IF(J51&lt;0,"적자전환",IF(J51=0,-1,J51/I51-1)))),"미확인")</f>
        <v/>
      </c>
      <c r="L51" s="123">
        <f>IF(ISNUMBER(G51),IF(G51&gt;0,E51/G51,"적자"),"미산출")</f>
        <v/>
      </c>
      <c r="M51" s="124">
        <f>IF(ISNUMBER(J51),IF(J51&gt;0,E51/J51,"적자"),"미산출")</f>
        <v/>
      </c>
      <c r="N51" s="125">
        <f>IF(원자료!O55="","미확인",원자료!O55)</f>
        <v/>
      </c>
      <c r="O51" s="124" t="n">
        <v>16.2</v>
      </c>
      <c r="P51" s="124" t="n">
        <v>14.6</v>
      </c>
      <c r="Q51" s="52" t="inlineStr">
        <is>
          <t>기존 / 원표 기준</t>
        </is>
      </c>
      <c r="R51" s="1" t="n"/>
      <c r="S51" s="1" t="n"/>
    </row>
    <row r="52" ht="21.95" customHeight="1">
      <c r="A52" s="18" t="n">
        <v>32</v>
      </c>
      <c r="B52" s="24" t="inlineStr">
        <is>
          <t>브이엠</t>
        </is>
      </c>
      <c r="C52" s="91" t="inlineStr">
        <is>
          <t>089970</t>
        </is>
      </c>
      <c r="D52" s="92">
        <f>원자료!I47</f>
        <v/>
      </c>
      <c r="E52" s="92">
        <f>D52*원자료!J47/100000000</f>
        <v/>
      </c>
      <c r="F52" s="93">
        <f>IF(원자료!T47="","미확인",원자료!T47)</f>
        <v/>
      </c>
      <c r="G52" s="92">
        <f>IF(원자료!D47="","미확인",원자료!D47)</f>
        <v/>
      </c>
      <c r="H52" s="94">
        <f>IF(AND(ISNUMBER(F52),ISNUMBER(G52)),IF(F52=0,IF(G52&gt;0,"흑자전환",IF(G52=0,"손익분기","미확인")),IF(F52&lt;0,IF(G52&gt;0,"흑자전환",IF(G52=0,"손익분기","적자지속")),IF(G52&lt;0,"적자전환",IF(G52=0,-1,G52/F52-1)))),"미확인")</f>
        <v/>
      </c>
      <c r="I52" s="93">
        <f>IF(원자료!U47="","미확인",원자료!U47)</f>
        <v/>
      </c>
      <c r="J52" s="92">
        <f>IF(원자료!E47="","미확인",원자료!E47)</f>
        <v/>
      </c>
      <c r="K52" s="94">
        <f>IF(AND(ISNUMBER(I52),ISNUMBER(J52)),IF(I52=0,IF(J52&gt;0,"흑자전환",IF(J52=0,"손익분기","미확인")),IF(I52&lt;0,IF(J52&gt;0,"흑자전환",IF(J52=0,"손익분기","적자지속")),IF(J52&lt;0,"적자전환",IF(J52=0,-1,J52/I52-1)))),"미확인")</f>
        <v/>
      </c>
      <c r="L52" s="95">
        <f>IF(ISNUMBER(G52),IF(G52&gt;0,E52/G52,"적자"),"미산출")</f>
        <v/>
      </c>
      <c r="M52" s="96">
        <f>IF(ISNUMBER(J52),IF(J52&gt;0,E52/J52,"적자"),"미산출")</f>
        <v/>
      </c>
      <c r="N52" s="97">
        <f>IF(원자료!O47="","미확인",원자료!O47)</f>
        <v/>
      </c>
      <c r="O52" s="96" t="n">
        <v>13.9</v>
      </c>
      <c r="P52" s="96" t="n">
        <v>12.1</v>
      </c>
      <c r="Q52" s="24" t="inlineStr">
        <is>
          <t>기존 / 원표 기준</t>
        </is>
      </c>
      <c r="R52" s="1" t="n"/>
      <c r="S52" s="1" t="n"/>
    </row>
    <row r="53" ht="21.95" customHeight="1">
      <c r="A53" s="18" t="n">
        <v>6</v>
      </c>
      <c r="B53" s="24" t="inlineStr">
        <is>
          <t>케이엔제이</t>
        </is>
      </c>
      <c r="C53" s="91" t="inlineStr">
        <is>
          <t>272110</t>
        </is>
      </c>
      <c r="D53" s="92">
        <f>원자료!I17</f>
        <v/>
      </c>
      <c r="E53" s="92">
        <f>D53*원자료!J17/100000000</f>
        <v/>
      </c>
      <c r="F53" s="93">
        <f>IF(원자료!T17="","미확인",원자료!T17)</f>
        <v/>
      </c>
      <c r="G53" s="92">
        <f>IF(원자료!D17="","미확인",원자료!D17)</f>
        <v/>
      </c>
      <c r="H53" s="94">
        <f>IF(AND(ISNUMBER(F53),ISNUMBER(G53)),IF(F53=0,IF(G53&gt;0,"흑자전환",IF(G53=0,"손익분기","미확인")),IF(F53&lt;0,IF(G53&gt;0,"흑자전환",IF(G53=0,"손익분기","적자지속")),IF(G53&lt;0,"적자전환",IF(G53=0,-1,G53/F53-1)))),"미확인")</f>
        <v/>
      </c>
      <c r="I53" s="93">
        <f>IF(원자료!U17="","미확인",원자료!U17)</f>
        <v/>
      </c>
      <c r="J53" s="92">
        <f>IF(원자료!E17="","미확인",원자료!E17)</f>
        <v/>
      </c>
      <c r="K53" s="94">
        <f>IF(AND(ISNUMBER(I53),ISNUMBER(J53)),IF(I53=0,IF(J53&gt;0,"흑자전환",IF(J53=0,"손익분기","미확인")),IF(I53&lt;0,IF(J53&gt;0,"흑자전환",IF(J53=0,"손익분기","적자지속")),IF(J53&lt;0,"적자전환",IF(J53=0,-1,J53/I53-1)))),"미확인")</f>
        <v/>
      </c>
      <c r="L53" s="95">
        <f>IF(ISNUMBER(G53),IF(G53&gt;0,E53/G53,"적자"),"미산출")</f>
        <v/>
      </c>
      <c r="M53" s="96">
        <f>IF(ISNUMBER(J53),IF(J53&gt;0,E53/J53,"적자"),"미산출")</f>
        <v/>
      </c>
      <c r="N53" s="97">
        <f>IF(원자료!O17="","미확인",원자료!O17)</f>
        <v/>
      </c>
      <c r="O53" s="96" t="n">
        <v>7</v>
      </c>
      <c r="P53" s="96" t="n">
        <v>5.8</v>
      </c>
      <c r="Q53" s="24" t="inlineStr">
        <is>
          <t>기존 / 원표 기준</t>
        </is>
      </c>
      <c r="R53" s="1" t="n"/>
      <c r="S53" s="1" t="n"/>
    </row>
    <row r="54" ht="21.95" customHeight="1">
      <c r="A54" s="51" t="n">
        <v>49</v>
      </c>
      <c r="B54" s="68" t="inlineStr">
        <is>
          <t>티엘비</t>
        </is>
      </c>
      <c r="C54" s="84" t="inlineStr">
        <is>
          <t>356860</t>
        </is>
      </c>
      <c r="D54" s="85">
        <f>원자료!I60</f>
        <v/>
      </c>
      <c r="E54" s="85">
        <f>D54*원자료!J60/100000000</f>
        <v/>
      </c>
      <c r="F54" s="86">
        <f>IF(원자료!T60="","미확인",원자료!T60)</f>
        <v/>
      </c>
      <c r="G54" s="85">
        <f>IF(원자료!D60="","미확인",원자료!D60)</f>
        <v/>
      </c>
      <c r="H54" s="87">
        <f>IF(AND(ISNUMBER(F54),ISNUMBER(G54)),IF(F54=0,IF(G54&gt;0,"흑자전환",IF(G54=0,"손익분기","미확인")),IF(F54&lt;0,IF(G54&gt;0,"흑자전환",IF(G54=0,"손익분기","적자지속")),IF(G54&lt;0,"적자전환",IF(G54=0,-1,G54/F54-1)))),"미확인")</f>
        <v/>
      </c>
      <c r="I54" s="86">
        <f>IF(원자료!U60="","미확인",원자료!U60)</f>
        <v/>
      </c>
      <c r="J54" s="85">
        <f>IF(원자료!E60="","미확인",원자료!E60)</f>
        <v/>
      </c>
      <c r="K54" s="87">
        <f>IF(AND(ISNUMBER(I54),ISNUMBER(J54)),IF(I54=0,IF(J54&gt;0,"흑자전환",IF(J54=0,"손익분기","미확인")),IF(I54&lt;0,IF(J54&gt;0,"흑자전환",IF(J54=0,"손익분기","적자지속")),IF(J54&lt;0,"적자전환",IF(J54=0,-1,J54/I54-1)))),"미확인")</f>
        <v/>
      </c>
      <c r="L54" s="88">
        <f>IF(ISNUMBER(G54),IF(G54&gt;0,E54/G54,"적자"),"미산출")</f>
        <v/>
      </c>
      <c r="M54" s="89">
        <f>IF(ISNUMBER(J54),IF(J54&gt;0,E54/J54,"적자"),"미산출")</f>
        <v/>
      </c>
      <c r="N54" s="90">
        <f>IF(원자료!O60="","미확인",원자료!O60)</f>
        <v/>
      </c>
      <c r="O54" s="89" t="n">
        <v>18.2</v>
      </c>
      <c r="P54" s="89" t="n">
        <v>14.6</v>
      </c>
      <c r="Q54" s="68" t="inlineStr">
        <is>
          <t>기존 / 원표 기준</t>
        </is>
      </c>
      <c r="R54" s="1" t="n"/>
      <c r="S54" s="1" t="n"/>
    </row>
    <row r="55" ht="21.95" customHeight="1">
      <c r="A55" s="18" t="n">
        <v>74</v>
      </c>
      <c r="B55" s="24" t="inlineStr">
        <is>
          <t>HPSP</t>
        </is>
      </c>
      <c r="C55" s="91" t="inlineStr">
        <is>
          <t>403870</t>
        </is>
      </c>
      <c r="D55" s="92">
        <f>원자료!I85</f>
        <v/>
      </c>
      <c r="E55" s="92">
        <f>D55*원자료!J85/100000000</f>
        <v/>
      </c>
      <c r="F55" s="93">
        <f>IF(원자료!T85="","미확인",원자료!T85)</f>
        <v/>
      </c>
      <c r="G55" s="92">
        <f>IF(원자료!D85="","미확인",원자료!D85)</f>
        <v/>
      </c>
      <c r="H55" s="94">
        <f>IF(AND(ISNUMBER(F55),ISNUMBER(G55)),IF(F55=0,IF(G55&gt;0,"흑자전환",IF(G55=0,"손익분기","미확인")),IF(F55&lt;0,IF(G55&gt;0,"흑자전환",IF(G55=0,"손익분기","적자지속")),IF(G55&lt;0,"적자전환",IF(G55=0,-1,G55/F55-1)))),"미확인")</f>
        <v/>
      </c>
      <c r="I55" s="93">
        <f>IF(원자료!U85="","미확인",원자료!U85)</f>
        <v/>
      </c>
      <c r="J55" s="92">
        <f>IF(원자료!E85="","미확인",원자료!E85)</f>
        <v/>
      </c>
      <c r="K55" s="94">
        <f>IF(AND(ISNUMBER(I55),ISNUMBER(J55)),IF(I55=0,IF(J55&gt;0,"흑자전환",IF(J55=0,"손익분기","미확인")),IF(I55&lt;0,IF(J55&gt;0,"흑자전환",IF(J55=0,"손익분기","적자지속")),IF(J55&lt;0,"적자전환",IF(J55=0,-1,J55/I55-1)))),"미확인")</f>
        <v/>
      </c>
      <c r="L55" s="95">
        <f>IF(ISNUMBER(G55),IF(G55&gt;0,E55/G55,"적자"),"미산출")</f>
        <v/>
      </c>
      <c r="M55" s="96">
        <f>IF(ISNUMBER(J55),IF(J55&gt;0,E55/J55,"적자"),"미산출")</f>
        <v/>
      </c>
      <c r="N55" s="97">
        <f>IF(원자료!O85="","미확인",원자료!O85)</f>
        <v/>
      </c>
      <c r="O55" s="96" t="n">
        <v>28.9</v>
      </c>
      <c r="P55" s="96" t="n">
        <v>23.4</v>
      </c>
      <c r="Q55" s="24" t="inlineStr">
        <is>
          <t>기존 / 원표 기준</t>
        </is>
      </c>
      <c r="R55" s="1" t="n"/>
      <c r="S55" s="1" t="n"/>
    </row>
    <row r="56" ht="21.95" customHeight="1">
      <c r="A56" s="18" t="n">
        <v>44</v>
      </c>
      <c r="B56" s="24" t="inlineStr">
        <is>
          <t>코리아써키트</t>
        </is>
      </c>
      <c r="C56" s="91" t="inlineStr">
        <is>
          <t>007810</t>
        </is>
      </c>
      <c r="D56" s="92">
        <f>원자료!I54</f>
        <v/>
      </c>
      <c r="E56" s="92">
        <f>D56*원자료!J54/100000000</f>
        <v/>
      </c>
      <c r="F56" s="93">
        <f>IF(원자료!T54="","미확인",원자료!T54)</f>
        <v/>
      </c>
      <c r="G56" s="92">
        <f>IF(원자료!D54="","미확인",원자료!D54)</f>
        <v/>
      </c>
      <c r="H56" s="94">
        <f>IF(AND(ISNUMBER(F56),ISNUMBER(G56)),IF(F56=0,IF(G56&gt;0,"흑자전환",IF(G56=0,"손익분기","미확인")),IF(F56&lt;0,IF(G56&gt;0,"흑자전환",IF(G56=0,"손익분기","적자지속")),IF(G56&lt;0,"적자전환",IF(G56=0,-1,G56/F56-1)))),"미확인")</f>
        <v/>
      </c>
      <c r="I56" s="93">
        <f>IF(원자료!U54="","미확인",원자료!U54)</f>
        <v/>
      </c>
      <c r="J56" s="92">
        <f>IF(원자료!E54="","미확인",원자료!E54)</f>
        <v/>
      </c>
      <c r="K56" s="94">
        <f>IF(AND(ISNUMBER(I56),ISNUMBER(J56)),IF(I56=0,IF(J56&gt;0,"흑자전환",IF(J56=0,"손익분기","미확인")),IF(I56&lt;0,IF(J56&gt;0,"흑자전환",IF(J56=0,"손익분기","적자지속")),IF(J56&lt;0,"적자전환",IF(J56=0,-1,J56/I56-1)))),"미확인")</f>
        <v/>
      </c>
      <c r="L56" s="95">
        <f>IF(ISNUMBER(G56),IF(G56&gt;0,E56/G56,"적자"),"미산출")</f>
        <v/>
      </c>
      <c r="M56" s="96">
        <f>IF(ISNUMBER(J56),IF(J56&gt;0,E56/J56,"적자"),"미산출")</f>
        <v/>
      </c>
      <c r="N56" s="97">
        <f>IF(원자료!O54="","미확인",원자료!O54)</f>
        <v/>
      </c>
      <c r="O56" s="96" t="n">
        <v>15.8</v>
      </c>
      <c r="P56" s="96" t="n">
        <v>12.1</v>
      </c>
      <c r="Q56" s="24" t="inlineStr">
        <is>
          <t>기존 / †</t>
        </is>
      </c>
      <c r="R56" s="1" t="n"/>
      <c r="S56" s="1" t="n"/>
    </row>
    <row r="57" ht="21.95" customHeight="1">
      <c r="A57" s="18" t="n">
        <v>15</v>
      </c>
      <c r="B57" s="19" t="inlineStr">
        <is>
          <t>해성디에스</t>
        </is>
      </c>
      <c r="C57" s="112" t="inlineStr">
        <is>
          <t>195870</t>
        </is>
      </c>
      <c r="D57" s="113">
        <f>원자료!I27</f>
        <v/>
      </c>
      <c r="E57" s="113">
        <f>D57*원자료!J27/100000000</f>
        <v/>
      </c>
      <c r="F57" s="114">
        <f>IF(원자료!T27="","미확인",원자료!T27)</f>
        <v/>
      </c>
      <c r="G57" s="113">
        <f>IF(원자료!D27="","미확인",원자료!D27)</f>
        <v/>
      </c>
      <c r="H57" s="115">
        <f>IF(AND(ISNUMBER(F57),ISNUMBER(G57)),IF(F57=0,IF(G57&gt;0,"흑자전환",IF(G57=0,"손익분기","미확인")),IF(F57&lt;0,IF(G57&gt;0,"흑자전환",IF(G57=0,"손익분기","적자지속")),IF(G57&lt;0,"적자전환",IF(G57=0,-1,G57/F57-1)))),"미확인")</f>
        <v/>
      </c>
      <c r="I57" s="114">
        <f>IF(원자료!U27="","미확인",원자료!U27)</f>
        <v/>
      </c>
      <c r="J57" s="113">
        <f>IF(원자료!E27="","미확인",원자료!E27)</f>
        <v/>
      </c>
      <c r="K57" s="115">
        <f>IF(AND(ISNUMBER(I57),ISNUMBER(J57)),IF(I57=0,IF(J57&gt;0,"흑자전환",IF(J57=0,"손익분기","미확인")),IF(I57&lt;0,IF(J57&gt;0,"흑자전환",IF(J57=0,"손익분기","적자지속")),IF(J57&lt;0,"적자전환",IF(J57=0,-1,J57/I57-1)))),"미확인")</f>
        <v/>
      </c>
      <c r="L57" s="116">
        <f>IF(ISNUMBER(G57),IF(G57&gt;0,E57/G57,"적자"),"미산출")</f>
        <v/>
      </c>
      <c r="M57" s="117">
        <f>IF(ISNUMBER(J57),IF(J57&gt;0,E57/J57,"적자"),"미산출")</f>
        <v/>
      </c>
      <c r="N57" s="118">
        <f>IF(원자료!O27="","미확인",원자료!O27)</f>
        <v/>
      </c>
      <c r="O57" s="117" t="n">
        <v>9.1</v>
      </c>
      <c r="P57" s="117" t="n">
        <v>7.1</v>
      </c>
      <c r="Q57" s="19" t="inlineStr">
        <is>
          <t>기존 / 원표 기준</t>
        </is>
      </c>
      <c r="R57" s="1" t="n"/>
      <c r="S57" s="1" t="n"/>
    </row>
    <row r="58" ht="21.95" customHeight="1">
      <c r="A58" s="51" t="n">
        <v>66</v>
      </c>
      <c r="B58" s="52" t="inlineStr">
        <is>
          <t>대덕전자</t>
        </is>
      </c>
      <c r="C58" s="119" t="inlineStr">
        <is>
          <t>353200</t>
        </is>
      </c>
      <c r="D58" s="120">
        <f>원자료!I72</f>
        <v/>
      </c>
      <c r="E58" s="120">
        <f>D58*원자료!J72/100000000</f>
        <v/>
      </c>
      <c r="F58" s="121">
        <f>IF(원자료!T72="","미확인",원자료!T72)</f>
        <v/>
      </c>
      <c r="G58" s="120">
        <f>IF(원자료!D72="","미확인",원자료!D72)</f>
        <v/>
      </c>
      <c r="H58" s="122">
        <f>IF(AND(ISNUMBER(F58),ISNUMBER(G58)),IF(F58=0,IF(G58&gt;0,"흑자전환",IF(G58=0,"손익분기","미확인")),IF(F58&lt;0,IF(G58&gt;0,"흑자전환",IF(G58=0,"손익분기","적자지속")),IF(G58&lt;0,"적자전환",IF(G58=0,-1,G58/F58-1)))),"미확인")</f>
        <v/>
      </c>
      <c r="I58" s="121">
        <f>IF(원자료!U72="","미확인",원자료!U72)</f>
        <v/>
      </c>
      <c r="J58" s="120">
        <f>IF(원자료!E72="","미확인",원자료!E72)</f>
        <v/>
      </c>
      <c r="K58" s="122">
        <f>IF(AND(ISNUMBER(I58),ISNUMBER(J58)),IF(I58=0,IF(J58&gt;0,"흑자전환",IF(J58=0,"손익분기","미확인")),IF(I58&lt;0,IF(J58&gt;0,"흑자전환",IF(J58=0,"손익분기","적자지속")),IF(J58&lt;0,"적자전환",IF(J58=0,-1,J58/I58-1)))),"미확인")</f>
        <v/>
      </c>
      <c r="L58" s="123">
        <f>IF(ISNUMBER(G58),IF(G58&gt;0,E58/G58,"적자"),"미산출")</f>
        <v/>
      </c>
      <c r="M58" s="124">
        <f>IF(ISNUMBER(J58),IF(J58&gt;0,E58/J58,"적자"),"미산출")</f>
        <v/>
      </c>
      <c r="N58" s="125">
        <f>IF(원자료!O72="","미확인",원자료!O72)</f>
        <v/>
      </c>
      <c r="O58" s="124" t="n">
        <v>21.8</v>
      </c>
      <c r="P58" s="124" t="n">
        <v>17.7</v>
      </c>
      <c r="Q58" s="52" t="inlineStr">
        <is>
          <t>기존 / 원표 기준</t>
        </is>
      </c>
      <c r="R58" s="1" t="n"/>
      <c r="S58" s="1" t="n"/>
    </row>
    <row r="59" ht="21.95" customHeight="1">
      <c r="A59" s="18" t="n">
        <v>16</v>
      </c>
      <c r="B59" s="24" t="inlineStr">
        <is>
          <t>한솔아이원스</t>
        </is>
      </c>
      <c r="C59" s="91" t="inlineStr">
        <is>
          <t>114810</t>
        </is>
      </c>
      <c r="D59" s="92">
        <f>원자료!I23</f>
        <v/>
      </c>
      <c r="E59" s="92">
        <f>D59*원자료!J23/100000000</f>
        <v/>
      </c>
      <c r="F59" s="93">
        <f>IF(원자료!T23="","미확인",원자료!T23)</f>
        <v/>
      </c>
      <c r="G59" s="92">
        <f>IF(원자료!D23="","미확인",원자료!D23)</f>
        <v/>
      </c>
      <c r="H59" s="94">
        <f>IF(AND(ISNUMBER(F59),ISNUMBER(G59)),IF(F59=0,IF(G59&gt;0,"흑자전환",IF(G59=0,"손익분기","미확인")),IF(F59&lt;0,IF(G59&gt;0,"흑자전환",IF(G59=0,"손익분기","적자지속")),IF(G59&lt;0,"적자전환",IF(G59=0,-1,G59/F59-1)))),"미확인")</f>
        <v/>
      </c>
      <c r="I59" s="93">
        <f>IF(원자료!U23="","미확인",원자료!U23)</f>
        <v/>
      </c>
      <c r="J59" s="92">
        <f>IF(원자료!E23="","미확인",원자료!E23)</f>
        <v/>
      </c>
      <c r="K59" s="94">
        <f>IF(AND(ISNUMBER(I59),ISNUMBER(J59)),IF(I59=0,IF(J59&gt;0,"흑자전환",IF(J59=0,"손익분기","미확인")),IF(I59&lt;0,IF(J59&gt;0,"흑자전환",IF(J59=0,"손익분기","적자지속")),IF(J59&lt;0,"적자전환",IF(J59=0,-1,J59/I59-1)))),"미확인")</f>
        <v/>
      </c>
      <c r="L59" s="95">
        <f>IF(ISNUMBER(G59),IF(G59&gt;0,E59/G59,"적자"),"미산출")</f>
        <v/>
      </c>
      <c r="M59" s="96">
        <f>IF(ISNUMBER(J59),IF(J59&gt;0,E59/J59,"적자"),"미산출")</f>
        <v/>
      </c>
      <c r="N59" s="97">
        <f>IF(원자료!O23="","미확인",원자료!O23)</f>
        <v/>
      </c>
      <c r="O59" s="96" t="n">
        <v>8.699999999999999</v>
      </c>
      <c r="P59" s="96" t="n">
        <v>6.7</v>
      </c>
      <c r="Q59" s="24" t="inlineStr">
        <is>
          <t>기존 / 원표 기준</t>
        </is>
      </c>
      <c r="R59" s="1" t="n"/>
      <c r="S59" s="1" t="n"/>
    </row>
    <row r="60" ht="21.95" customHeight="1">
      <c r="A60" s="18" t="n">
        <v>68</v>
      </c>
      <c r="B60" s="24" t="inlineStr">
        <is>
          <t>피에스케이홀딩스</t>
        </is>
      </c>
      <c r="C60" s="91" t="inlineStr">
        <is>
          <t>031980</t>
        </is>
      </c>
      <c r="D60" s="92">
        <f>원자료!I71</f>
        <v/>
      </c>
      <c r="E60" s="92">
        <f>D60*원자료!J71/100000000</f>
        <v/>
      </c>
      <c r="F60" s="93">
        <f>IF(원자료!T71="","미확인",원자료!T71)</f>
        <v/>
      </c>
      <c r="G60" s="92">
        <f>IF(원자료!D71="","미확인",원자료!D71)</f>
        <v/>
      </c>
      <c r="H60" s="94">
        <f>IF(AND(ISNUMBER(F60),ISNUMBER(G60)),IF(F60=0,IF(G60&gt;0,"흑자전환",IF(G60=0,"손익분기","미확인")),IF(F60&lt;0,IF(G60&gt;0,"흑자전환",IF(G60=0,"손익분기","적자지속")),IF(G60&lt;0,"적자전환",IF(G60=0,-1,G60/F60-1)))),"미확인")</f>
        <v/>
      </c>
      <c r="I60" s="93">
        <f>IF(원자료!U71="","미확인",원자료!U71)</f>
        <v/>
      </c>
      <c r="J60" s="92">
        <f>IF(원자료!E71="","미확인",원자료!E71)</f>
        <v/>
      </c>
      <c r="K60" s="94">
        <f>IF(AND(ISNUMBER(I60),ISNUMBER(J60)),IF(I60=0,IF(J60&gt;0,"흑자전환",IF(J60=0,"손익분기","미확인")),IF(I60&lt;0,IF(J60&gt;0,"흑자전환",IF(J60=0,"손익분기","적자지속")),IF(J60&lt;0,"적자전환",IF(J60=0,-1,J60/I60-1)))),"미확인")</f>
        <v/>
      </c>
      <c r="L60" s="95">
        <f>IF(ISNUMBER(G60),IF(G60&gt;0,E60/G60,"적자"),"미산출")</f>
        <v/>
      </c>
      <c r="M60" s="96">
        <f>IF(ISNUMBER(J60),IF(J60&gt;0,E60/J60,"적자"),"미산출")</f>
        <v/>
      </c>
      <c r="N60" s="97">
        <f>IF(원자료!O71="","미확인",원자료!O71)</f>
        <v/>
      </c>
      <c r="O60" s="96" t="n">
        <v>21.5</v>
      </c>
      <c r="P60" s="96" t="n">
        <v>26.2</v>
      </c>
      <c r="Q60" s="24" t="inlineStr">
        <is>
          <t>기존 / 원표 기준</t>
        </is>
      </c>
      <c r="R60" s="1" t="n"/>
      <c r="S60" s="1" t="n"/>
    </row>
    <row r="61" ht="21.95" customHeight="1">
      <c r="A61" s="18" t="n">
        <v>36</v>
      </c>
      <c r="B61" s="24" t="inlineStr">
        <is>
          <t>네패스아크</t>
        </is>
      </c>
      <c r="C61" s="91" t="inlineStr">
        <is>
          <t>330860</t>
        </is>
      </c>
      <c r="D61" s="92">
        <f>원자료!I52</f>
        <v/>
      </c>
      <c r="E61" s="92">
        <f>D61*원자료!J52/100000000</f>
        <v/>
      </c>
      <c r="F61" s="93">
        <f>IF(원자료!T52="","미확인",원자료!T52)</f>
        <v/>
      </c>
      <c r="G61" s="92">
        <f>IF(원자료!D52="","미확인",원자료!D52)</f>
        <v/>
      </c>
      <c r="H61" s="94">
        <f>IF(AND(ISNUMBER(F61),ISNUMBER(G61)),IF(F61=0,IF(G61&gt;0,"흑자전환",IF(G61=0,"손익분기","미확인")),IF(F61&lt;0,IF(G61&gt;0,"흑자전환",IF(G61=0,"손익분기","적자지속")),IF(G61&lt;0,"적자전환",IF(G61=0,-1,G61/F61-1)))),"미확인")</f>
        <v/>
      </c>
      <c r="I61" s="93">
        <f>IF(원자료!U52="","미확인",원자료!U52)</f>
        <v/>
      </c>
      <c r="J61" s="92">
        <f>IF(원자료!E52="","미확인",원자료!E52)</f>
        <v/>
      </c>
      <c r="K61" s="94">
        <f>IF(AND(ISNUMBER(I61),ISNUMBER(J61)),IF(I61=0,IF(J61&gt;0,"흑자전환",IF(J61=0,"손익분기","미확인")),IF(I61&lt;0,IF(J61&gt;0,"흑자전환",IF(J61=0,"손익분기","적자지속")),IF(J61&lt;0,"적자전환",IF(J61=0,-1,J61/I61-1)))),"미확인")</f>
        <v/>
      </c>
      <c r="L61" s="95">
        <f>IF(ISNUMBER(G61),IF(G61&gt;0,E61/G61,"적자"),"미산출")</f>
        <v/>
      </c>
      <c r="M61" s="96">
        <f>IF(ISNUMBER(J61),IF(J61&gt;0,E61/J61,"적자"),"미산출")</f>
        <v/>
      </c>
      <c r="N61" s="97">
        <f>IF(원자료!O52="","미확인",원자료!O52)</f>
        <v/>
      </c>
      <c r="O61" s="96" t="n">
        <v>14.3</v>
      </c>
      <c r="P61" s="96" t="n">
        <v>10.3</v>
      </c>
      <c r="Q61" s="24" t="inlineStr">
        <is>
          <t>기존 / 원표 기준</t>
        </is>
      </c>
      <c r="R61" s="1" t="n"/>
      <c r="S61" s="1" t="n"/>
    </row>
    <row r="62" ht="21.95" customHeight="1">
      <c r="A62" s="18" t="n">
        <v>17</v>
      </c>
      <c r="B62" s="19" t="inlineStr">
        <is>
          <t>유니셈</t>
        </is>
      </c>
      <c r="C62" s="112" t="inlineStr">
        <is>
          <t>036200</t>
        </is>
      </c>
      <c r="D62" s="113">
        <f>원자료!I24</f>
        <v/>
      </c>
      <c r="E62" s="113">
        <f>D62*원자료!J24/100000000</f>
        <v/>
      </c>
      <c r="F62" s="114">
        <f>IF(원자료!T24="","미확인",원자료!T24)</f>
        <v/>
      </c>
      <c r="G62" s="113">
        <f>IF(원자료!D24="","미확인",원자료!D24)</f>
        <v/>
      </c>
      <c r="H62" s="115">
        <f>IF(AND(ISNUMBER(F62),ISNUMBER(G62)),IF(F62=0,IF(G62&gt;0,"흑자전환",IF(G62=0,"손익분기","미확인")),IF(F62&lt;0,IF(G62&gt;0,"흑자전환",IF(G62=0,"손익분기","적자지속")),IF(G62&lt;0,"적자전환",IF(G62=0,-1,G62/F62-1)))),"미확인")</f>
        <v/>
      </c>
      <c r="I62" s="114">
        <f>IF(원자료!U24="","미확인",원자료!U24)</f>
        <v/>
      </c>
      <c r="J62" s="113">
        <f>IF(원자료!E24="","미확인",원자료!E24)</f>
        <v/>
      </c>
      <c r="K62" s="115">
        <f>IF(AND(ISNUMBER(I62),ISNUMBER(J62)),IF(I62=0,IF(J62&gt;0,"흑자전환",IF(J62=0,"손익분기","미확인")),IF(I62&lt;0,IF(J62&gt;0,"흑자전환",IF(J62=0,"손익분기","적자지속")),IF(J62&lt;0,"적자전환",IF(J62=0,-1,J62/I62-1)))),"미확인")</f>
        <v/>
      </c>
      <c r="L62" s="116">
        <f>IF(ISNUMBER(G62),IF(G62&gt;0,E62/G62,"적자"),"미산출")</f>
        <v/>
      </c>
      <c r="M62" s="117">
        <f>IF(ISNUMBER(J62),IF(J62&gt;0,E62/J62,"적자"),"미산출")</f>
        <v/>
      </c>
      <c r="N62" s="118">
        <f>IF(원자료!O24="","미확인",원자료!O24)</f>
        <v/>
      </c>
      <c r="O62" s="117" t="n">
        <v>8.800000000000001</v>
      </c>
      <c r="P62" s="117" t="n">
        <v>7.8</v>
      </c>
      <c r="Q62" s="19" t="inlineStr">
        <is>
          <t>기존 / 원표 기준</t>
        </is>
      </c>
      <c r="R62" s="1" t="n"/>
      <c r="S62" s="1" t="n"/>
    </row>
    <row r="63" ht="21.95" customHeight="1">
      <c r="A63" s="51" t="n">
        <v>38</v>
      </c>
      <c r="B63" s="52" t="inlineStr">
        <is>
          <t>덕산하이메탈</t>
        </is>
      </c>
      <c r="C63" s="119" t="inlineStr">
        <is>
          <t>077360</t>
        </is>
      </c>
      <c r="D63" s="120">
        <f>원자료!I50</f>
        <v/>
      </c>
      <c r="E63" s="120">
        <f>D63*원자료!J50/100000000</f>
        <v/>
      </c>
      <c r="F63" s="121">
        <f>IF(원자료!T50="","미확인",원자료!T50)</f>
        <v/>
      </c>
      <c r="G63" s="120">
        <f>IF(원자료!D50="","미확인",원자료!D50)</f>
        <v/>
      </c>
      <c r="H63" s="122">
        <f>IF(AND(ISNUMBER(F63),ISNUMBER(G63)),IF(F63=0,IF(G63&gt;0,"흑자전환",IF(G63=0,"손익분기","미확인")),IF(F63&lt;0,IF(G63&gt;0,"흑자전환",IF(G63=0,"손익분기","적자지속")),IF(G63&lt;0,"적자전환",IF(G63=0,-1,G63/F63-1)))),"미확인")</f>
        <v/>
      </c>
      <c r="I63" s="121">
        <f>IF(원자료!U50="","미확인",원자료!U50)</f>
        <v/>
      </c>
      <c r="J63" s="120">
        <f>IF(원자료!E50="","미확인",원자료!E50)</f>
        <v/>
      </c>
      <c r="K63" s="122">
        <f>IF(AND(ISNUMBER(I63),ISNUMBER(J63)),IF(I63=0,IF(J63&gt;0,"흑자전환",IF(J63=0,"손익분기","미확인")),IF(I63&lt;0,IF(J63&gt;0,"흑자전환",IF(J63=0,"손익분기","적자지속")),IF(J63&lt;0,"적자전환",IF(J63=0,-1,J63/I63-1)))),"미확인")</f>
        <v/>
      </c>
      <c r="L63" s="123">
        <f>IF(ISNUMBER(G63),IF(G63&gt;0,E63/G63,"적자"),"미산출")</f>
        <v/>
      </c>
      <c r="M63" s="124">
        <f>IF(ISNUMBER(J63),IF(J63&gt;0,E63/J63,"적자"),"미산출")</f>
        <v/>
      </c>
      <c r="N63" s="125">
        <f>IF(원자료!O50="","미확인",원자료!O50)</f>
        <v/>
      </c>
      <c r="O63" s="124" t="n">
        <v>14</v>
      </c>
      <c r="P63" s="124" t="n">
        <v>10.5</v>
      </c>
      <c r="Q63" s="52" t="inlineStr">
        <is>
          <t>기존 / 원표 기준</t>
        </is>
      </c>
      <c r="R63" s="1" t="n"/>
      <c r="S63" s="1" t="n"/>
    </row>
    <row r="64" ht="21.95" customHeight="1">
      <c r="A64" s="18" t="n">
        <v>31</v>
      </c>
      <c r="B64" s="19" t="inlineStr">
        <is>
          <t>하나머티리얼즈</t>
        </is>
      </c>
      <c r="C64" s="112" t="inlineStr">
        <is>
          <t>166090</t>
        </is>
      </c>
      <c r="D64" s="113">
        <f>원자료!I39</f>
        <v/>
      </c>
      <c r="E64" s="113">
        <f>D64*원자료!J39/100000000</f>
        <v/>
      </c>
      <c r="F64" s="114">
        <f>IF(원자료!T39="","미확인",원자료!T39)</f>
        <v/>
      </c>
      <c r="G64" s="113">
        <f>IF(원자료!D39="","미확인",원자료!D39)</f>
        <v/>
      </c>
      <c r="H64" s="115">
        <f>IF(AND(ISNUMBER(F64),ISNUMBER(G64)),IF(F64=0,IF(G64&gt;0,"흑자전환",IF(G64=0,"손익분기","미확인")),IF(F64&lt;0,IF(G64&gt;0,"흑자전환",IF(G64=0,"손익분기","적자지속")),IF(G64&lt;0,"적자전환",IF(G64=0,-1,G64/F64-1)))),"미확인")</f>
        <v/>
      </c>
      <c r="I64" s="114">
        <f>IF(원자료!U39="","미확인",원자료!U39)</f>
        <v/>
      </c>
      <c r="J64" s="113">
        <f>IF(원자료!E39="","미확인",원자료!E39)</f>
        <v/>
      </c>
      <c r="K64" s="115">
        <f>IF(AND(ISNUMBER(I64),ISNUMBER(J64)),IF(I64=0,IF(J64&gt;0,"흑자전환",IF(J64=0,"손익분기","미확인")),IF(I64&lt;0,IF(J64&gt;0,"흑자전환",IF(J64=0,"손익분기","적자지속")),IF(J64&lt;0,"적자전환",IF(J64=0,-1,J64/I64-1)))),"미확인")</f>
        <v/>
      </c>
      <c r="L64" s="116">
        <f>IF(ISNUMBER(G64),IF(G64&gt;0,E64/G64,"적자"),"미산출")</f>
        <v/>
      </c>
      <c r="M64" s="117">
        <f>IF(ISNUMBER(J64),IF(J64&gt;0,E64/J64,"적자"),"미산출")</f>
        <v/>
      </c>
      <c r="N64" s="118">
        <f>IF(원자료!O39="","미확인",원자료!O39)</f>
        <v/>
      </c>
      <c r="O64" s="117" t="n">
        <v>12.6</v>
      </c>
      <c r="P64" s="117" t="n">
        <v>9.6</v>
      </c>
      <c r="Q64" s="19" t="inlineStr">
        <is>
          <t>기존 / 원표 기준</t>
        </is>
      </c>
      <c r="R64" s="1" t="n"/>
      <c r="S64" s="1" t="n"/>
    </row>
    <row r="65" ht="21.95" customHeight="1">
      <c r="A65" s="18" t="n">
        <v>80</v>
      </c>
      <c r="B65" s="24" t="inlineStr">
        <is>
          <t>ISC</t>
        </is>
      </c>
      <c r="C65" s="91" t="inlineStr">
        <is>
          <t>095340</t>
        </is>
      </c>
      <c r="D65" s="92">
        <f>원자료!I87</f>
        <v/>
      </c>
      <c r="E65" s="92">
        <f>D65*원자료!J87/100000000</f>
        <v/>
      </c>
      <c r="F65" s="93">
        <f>IF(원자료!T87="","미확인",원자료!T87)</f>
        <v/>
      </c>
      <c r="G65" s="92">
        <f>IF(원자료!D87="","미확인",원자료!D87)</f>
        <v/>
      </c>
      <c r="H65" s="94">
        <f>IF(AND(ISNUMBER(F65),ISNUMBER(G65)),IF(F65=0,IF(G65&gt;0,"흑자전환",IF(G65=0,"손익분기","미확인")),IF(F65&lt;0,IF(G65&gt;0,"흑자전환",IF(G65=0,"손익분기","적자지속")),IF(G65&lt;0,"적자전환",IF(G65=0,-1,G65/F65-1)))),"미확인")</f>
        <v/>
      </c>
      <c r="I65" s="93">
        <f>IF(원자료!U87="","미확인",원자료!U87)</f>
        <v/>
      </c>
      <c r="J65" s="92">
        <f>IF(원자료!E87="","미확인",원자료!E87)</f>
        <v/>
      </c>
      <c r="K65" s="94">
        <f>IF(AND(ISNUMBER(I65),ISNUMBER(J65)),IF(I65=0,IF(J65&gt;0,"흑자전환",IF(J65=0,"손익분기","미확인")),IF(I65&lt;0,IF(J65&gt;0,"흑자전환",IF(J65=0,"손익분기","적자지속")),IF(J65&lt;0,"적자전환",IF(J65=0,-1,J65/I65-1)))),"미확인")</f>
        <v/>
      </c>
      <c r="L65" s="95">
        <f>IF(ISNUMBER(G65),IF(G65&gt;0,E65/G65,"적자"),"미산출")</f>
        <v/>
      </c>
      <c r="M65" s="96">
        <f>IF(ISNUMBER(J65),IF(J65&gt;0,E65/J65,"적자"),"미산출")</f>
        <v/>
      </c>
      <c r="N65" s="97">
        <f>IF(원자료!O87="","미확인",원자료!O87)</f>
        <v/>
      </c>
      <c r="O65" s="96" t="n">
        <v>33.6</v>
      </c>
      <c r="P65" s="96" t="n">
        <v>28.4</v>
      </c>
      <c r="Q65" s="24" t="inlineStr">
        <is>
          <t>기존 / 원표 기준</t>
        </is>
      </c>
      <c r="R65" s="1" t="n"/>
      <c r="S65" s="1" t="n"/>
    </row>
    <row r="66" ht="21.95" customHeight="1">
      <c r="A66" s="18" t="n">
        <v>61</v>
      </c>
      <c r="B66" s="19" t="inlineStr">
        <is>
          <t>코미코</t>
        </is>
      </c>
      <c r="C66" s="112" t="inlineStr">
        <is>
          <t>183300</t>
        </is>
      </c>
      <c r="D66" s="113">
        <f>원자료!I74</f>
        <v/>
      </c>
      <c r="E66" s="113">
        <f>D66*원자료!J74/100000000</f>
        <v/>
      </c>
      <c r="F66" s="114">
        <f>IF(원자료!T74="","미확인",원자료!T74)</f>
        <v/>
      </c>
      <c r="G66" s="113">
        <f>IF(원자료!D74="","미확인",원자료!D74)</f>
        <v/>
      </c>
      <c r="H66" s="115">
        <f>IF(AND(ISNUMBER(F66),ISNUMBER(G66)),IF(F66=0,IF(G66&gt;0,"흑자전환",IF(G66=0,"손익분기","미확인")),IF(F66&lt;0,IF(G66&gt;0,"흑자전환",IF(G66=0,"손익분기","적자지속")),IF(G66&lt;0,"적자전환",IF(G66=0,-1,G66/F66-1)))),"미확인")</f>
        <v/>
      </c>
      <c r="I66" s="114">
        <f>IF(원자료!U74="","미확인",원자료!U74)</f>
        <v/>
      </c>
      <c r="J66" s="113">
        <f>IF(원자료!E74="","미확인",원자료!E74)</f>
        <v/>
      </c>
      <c r="K66" s="115">
        <f>IF(AND(ISNUMBER(I66),ISNUMBER(J66)),IF(I66=0,IF(J66&gt;0,"흑자전환",IF(J66=0,"손익분기","미확인")),IF(I66&lt;0,IF(J66&gt;0,"흑자전환",IF(J66=0,"손익분기","적자지속")),IF(J66&lt;0,"적자전환",IF(J66=0,-1,J66/I66-1)))),"미확인")</f>
        <v/>
      </c>
      <c r="L66" s="116">
        <f>IF(ISNUMBER(G66),IF(G66&gt;0,E66/G66,"적자"),"미산출")</f>
        <v/>
      </c>
      <c r="M66" s="117">
        <f>IF(ISNUMBER(J66),IF(J66&gt;0,E66/J66,"적자"),"미산출")</f>
        <v/>
      </c>
      <c r="N66" s="118">
        <f>IF(원자료!O74="","미확인",원자료!O74)</f>
        <v/>
      </c>
      <c r="O66" s="117" t="n">
        <v>22.8</v>
      </c>
      <c r="P66" s="117" t="n">
        <v>10.1</v>
      </c>
      <c r="Q66" s="19" t="inlineStr">
        <is>
          <t>기존 / †</t>
        </is>
      </c>
      <c r="R66" s="1" t="n"/>
      <c r="S66" s="1" t="n"/>
    </row>
    <row r="67" ht="21.95" customHeight="1">
      <c r="A67" s="18" t="n">
        <v>13</v>
      </c>
      <c r="B67" s="19" t="inlineStr">
        <is>
          <t>이엔에프테크놀로지</t>
        </is>
      </c>
      <c r="C67" s="112" t="inlineStr">
        <is>
          <t>102710</t>
        </is>
      </c>
      <c r="D67" s="113">
        <f>원자료!I20</f>
        <v/>
      </c>
      <c r="E67" s="113">
        <f>D67*원자료!J20/100000000</f>
        <v/>
      </c>
      <c r="F67" s="114">
        <f>IF(원자료!T20="","미확인",원자료!T20)</f>
        <v/>
      </c>
      <c r="G67" s="113">
        <f>IF(원자료!D20="","미확인",원자료!D20)</f>
        <v/>
      </c>
      <c r="H67" s="115">
        <f>IF(AND(ISNUMBER(F67),ISNUMBER(G67)),IF(F67=0,IF(G67&gt;0,"흑자전환",IF(G67=0,"손익분기","미확인")),IF(F67&lt;0,IF(G67&gt;0,"흑자전환",IF(G67=0,"손익분기","적자지속")),IF(G67&lt;0,"적자전환",IF(G67=0,-1,G67/F67-1)))),"미확인")</f>
        <v/>
      </c>
      <c r="I67" s="114">
        <f>IF(원자료!U20="","미확인",원자료!U20)</f>
        <v/>
      </c>
      <c r="J67" s="113">
        <f>IF(원자료!E20="","미확인",원자료!E20)</f>
        <v/>
      </c>
      <c r="K67" s="115">
        <f>IF(AND(ISNUMBER(I67),ISNUMBER(J67)),IF(I67=0,IF(J67&gt;0,"흑자전환",IF(J67=0,"손익분기","미확인")),IF(I67&lt;0,IF(J67&gt;0,"흑자전환",IF(J67=0,"손익분기","적자지속")),IF(J67&lt;0,"적자전환",IF(J67=0,-1,J67/I67-1)))),"미확인")</f>
        <v/>
      </c>
      <c r="L67" s="116">
        <f>IF(ISNUMBER(G67),IF(G67&gt;0,E67/G67,"적자"),"미산출")</f>
        <v/>
      </c>
      <c r="M67" s="117">
        <f>IF(ISNUMBER(J67),IF(J67&gt;0,E67/J67,"적자"),"미산출")</f>
        <v/>
      </c>
      <c r="N67" s="118">
        <f>IF(원자료!O20="","미확인",원자료!O20)</f>
        <v/>
      </c>
      <c r="O67" s="117" t="n">
        <v>8</v>
      </c>
      <c r="P67" s="117" t="n">
        <v>5.7</v>
      </c>
      <c r="Q67" s="19" t="inlineStr">
        <is>
          <t>기존 / 원표 기준</t>
        </is>
      </c>
      <c r="R67" s="1" t="n"/>
      <c r="S67" s="1" t="n"/>
    </row>
    <row r="68" ht="21.95" customHeight="1">
      <c r="A68" s="18" t="n">
        <v>82</v>
      </c>
      <c r="B68" s="24" t="inlineStr">
        <is>
          <t>파크시스템스</t>
        </is>
      </c>
      <c r="C68" s="91" t="inlineStr">
        <is>
          <t>140860</t>
        </is>
      </c>
      <c r="D68" s="92">
        <f>원자료!I88</f>
        <v/>
      </c>
      <c r="E68" s="92">
        <f>D68*원자료!J88/100000000</f>
        <v/>
      </c>
      <c r="F68" s="93">
        <f>IF(원자료!T88="","미확인",원자료!T88)</f>
        <v/>
      </c>
      <c r="G68" s="92">
        <f>IF(원자료!D88="","미확인",원자료!D88)</f>
        <v/>
      </c>
      <c r="H68" s="94">
        <f>IF(AND(ISNUMBER(F68),ISNUMBER(G68)),IF(F68=0,IF(G68&gt;0,"흑자전환",IF(G68=0,"손익분기","미확인")),IF(F68&lt;0,IF(G68&gt;0,"흑자전환",IF(G68=0,"손익분기","적자지속")),IF(G68&lt;0,"적자전환",IF(G68=0,-1,G68/F68-1)))),"미확인")</f>
        <v/>
      </c>
      <c r="I68" s="93">
        <f>IF(원자료!U88="","미확인",원자료!U88)</f>
        <v/>
      </c>
      <c r="J68" s="92">
        <f>IF(원자료!E88="","미확인",원자료!E88)</f>
        <v/>
      </c>
      <c r="K68" s="94">
        <f>IF(AND(ISNUMBER(I68),ISNUMBER(J68)),IF(I68=0,IF(J68&gt;0,"흑자전환",IF(J68=0,"손익분기","미확인")),IF(I68&lt;0,IF(J68&gt;0,"흑자전환",IF(J68=0,"손익분기","적자지속")),IF(J68&lt;0,"적자전환",IF(J68=0,-1,J68/I68-1)))),"미확인")</f>
        <v/>
      </c>
      <c r="L68" s="95">
        <f>IF(ISNUMBER(G68),IF(G68&gt;0,E68/G68,"적자"),"미산출")</f>
        <v/>
      </c>
      <c r="M68" s="96">
        <f>IF(ISNUMBER(J68),IF(J68&gt;0,E68/J68,"적자"),"미산출")</f>
        <v/>
      </c>
      <c r="N68" s="97">
        <f>IF(원자료!O88="","미확인",원자료!O88)</f>
        <v/>
      </c>
      <c r="O68" s="96" t="n">
        <v>34</v>
      </c>
      <c r="P68" s="96" t="n">
        <v>30.2</v>
      </c>
      <c r="Q68" s="24" t="inlineStr">
        <is>
          <t>기존 / 원표 기준</t>
        </is>
      </c>
      <c r="R68" s="1" t="n"/>
      <c r="S68" s="1" t="n"/>
    </row>
    <row r="69" ht="21.95" customHeight="1">
      <c r="A69" s="18" t="n">
        <v>58</v>
      </c>
      <c r="B69" s="24" t="inlineStr">
        <is>
          <t>네오셈</t>
        </is>
      </c>
      <c r="C69" s="91" t="inlineStr">
        <is>
          <t>253590</t>
        </is>
      </c>
      <c r="D69" s="92">
        <f>원자료!I66</f>
        <v/>
      </c>
      <c r="E69" s="92">
        <f>D69*원자료!J66/100000000</f>
        <v/>
      </c>
      <c r="F69" s="93">
        <f>IF(원자료!T66="","미확인",원자료!T66)</f>
        <v/>
      </c>
      <c r="G69" s="92">
        <f>IF(원자료!D66="","미확인",원자료!D66)</f>
        <v/>
      </c>
      <c r="H69" s="94">
        <f>IF(AND(ISNUMBER(F69),ISNUMBER(G69)),IF(F69=0,IF(G69&gt;0,"흑자전환",IF(G69=0,"손익분기","미확인")),IF(F69&lt;0,IF(G69&gt;0,"흑자전환",IF(G69=0,"손익분기","적자지속")),IF(G69&lt;0,"적자전환",IF(G69=0,-1,G69/F69-1)))),"미확인")</f>
        <v/>
      </c>
      <c r="I69" s="93">
        <f>IF(원자료!U66="","미확인",원자료!U66)</f>
        <v/>
      </c>
      <c r="J69" s="92">
        <f>IF(원자료!E66="","미확인",원자료!E66)</f>
        <v/>
      </c>
      <c r="K69" s="94">
        <f>IF(AND(ISNUMBER(I69),ISNUMBER(J69)),IF(I69=0,IF(J69&gt;0,"흑자전환",IF(J69=0,"손익분기","미확인")),IF(I69&lt;0,IF(J69&gt;0,"흑자전환",IF(J69=0,"손익분기","적자지속")),IF(J69&lt;0,"적자전환",IF(J69=0,-1,J69/I69-1)))),"미확인")</f>
        <v/>
      </c>
      <c r="L69" s="95">
        <f>IF(ISNUMBER(G69),IF(G69&gt;0,E69/G69,"적자"),"미산출")</f>
        <v/>
      </c>
      <c r="M69" s="96">
        <f>IF(ISNUMBER(J69),IF(J69&gt;0,E69/J69,"적자"),"미산출")</f>
        <v/>
      </c>
      <c r="N69" s="97">
        <f>IF(원자료!O66="","미확인",원자료!O66)</f>
        <v/>
      </c>
      <c r="O69" s="96" t="n">
        <v>20.4</v>
      </c>
      <c r="P69" s="96" t="n">
        <v>17.7</v>
      </c>
      <c r="Q69" s="24" t="inlineStr">
        <is>
          <t>기존 / †</t>
        </is>
      </c>
      <c r="R69" s="1" t="n"/>
      <c r="S69" s="1" t="n"/>
    </row>
    <row r="70" ht="21.95" customHeight="1">
      <c r="A70" s="18" t="n">
        <v>67</v>
      </c>
      <c r="B70" s="19" t="inlineStr">
        <is>
          <t>샘씨엔에스</t>
        </is>
      </c>
      <c r="C70" s="112" t="inlineStr">
        <is>
          <t>252990</t>
        </is>
      </c>
      <c r="D70" s="113">
        <f>원자료!I73</f>
        <v/>
      </c>
      <c r="E70" s="113">
        <f>D70*원자료!J73/100000000</f>
        <v/>
      </c>
      <c r="F70" s="114">
        <f>IF(원자료!T73="","미확인",원자료!T73)</f>
        <v/>
      </c>
      <c r="G70" s="113">
        <f>IF(원자료!D73="","미확인",원자료!D73)</f>
        <v/>
      </c>
      <c r="H70" s="115">
        <f>IF(AND(ISNUMBER(F70),ISNUMBER(G70)),IF(F70=0,IF(G70&gt;0,"흑자전환",IF(G70=0,"손익분기","미확인")),IF(F70&lt;0,IF(G70&gt;0,"흑자전환",IF(G70=0,"손익분기","적자지속")),IF(G70&lt;0,"적자전환",IF(G70=0,-1,G70/F70-1)))),"미확인")</f>
        <v/>
      </c>
      <c r="I70" s="114">
        <f>IF(원자료!U73="","미확인",원자료!U73)</f>
        <v/>
      </c>
      <c r="J70" s="113">
        <f>IF(원자료!E73="","미확인",원자료!E73)</f>
        <v/>
      </c>
      <c r="K70" s="115">
        <f>IF(AND(ISNUMBER(I70),ISNUMBER(J70)),IF(I70=0,IF(J70&gt;0,"흑자전환",IF(J70=0,"손익분기","미확인")),IF(I70&lt;0,IF(J70&gt;0,"흑자전환",IF(J70=0,"손익분기","적자지속")),IF(J70&lt;0,"적자전환",IF(J70=0,-1,J70/I70-1)))),"미확인")</f>
        <v/>
      </c>
      <c r="L70" s="116">
        <f>IF(ISNUMBER(G70),IF(G70&gt;0,E70/G70,"적자"),"미산출")</f>
        <v/>
      </c>
      <c r="M70" s="117">
        <f>IF(ISNUMBER(J70),IF(J70&gt;0,E70/J70,"적자"),"미산출")</f>
        <v/>
      </c>
      <c r="N70" s="118">
        <f>IF(원자료!O73="","미확인",원자료!O73)</f>
        <v/>
      </c>
      <c r="O70" s="117" t="n">
        <v>22.7</v>
      </c>
      <c r="P70" s="117" t="n">
        <v>22.8</v>
      </c>
      <c r="Q70" s="19" t="inlineStr">
        <is>
          <t>기존 / 원표 기준</t>
        </is>
      </c>
      <c r="R70" s="1" t="n"/>
      <c r="S70" s="1" t="n"/>
    </row>
    <row r="71" ht="21.95" customHeight="1">
      <c r="A71" s="18" t="n">
        <v>79</v>
      </c>
      <c r="B71" s="19" t="inlineStr">
        <is>
          <t>와이씨</t>
        </is>
      </c>
      <c r="C71" s="112" t="inlineStr">
        <is>
          <t>232140</t>
        </is>
      </c>
      <c r="D71" s="113">
        <f>원자료!I86</f>
        <v/>
      </c>
      <c r="E71" s="113">
        <f>D71*원자료!J86/100000000</f>
        <v/>
      </c>
      <c r="F71" s="114">
        <f>IF(원자료!T86="","미확인",원자료!T86)</f>
        <v/>
      </c>
      <c r="G71" s="113">
        <f>IF(원자료!D86="","미확인",원자료!D86)</f>
        <v/>
      </c>
      <c r="H71" s="115">
        <f>IF(AND(ISNUMBER(F71),ISNUMBER(G71)),IF(F71=0,IF(G71&gt;0,"흑자전환",IF(G71=0,"손익분기","미확인")),IF(F71&lt;0,IF(G71&gt;0,"흑자전환",IF(G71=0,"손익분기","적자지속")),IF(G71&lt;0,"적자전환",IF(G71=0,-1,G71/F71-1)))),"미확인")</f>
        <v/>
      </c>
      <c r="I71" s="114">
        <f>IF(원자료!U86="","미확인",원자료!U86)</f>
        <v/>
      </c>
      <c r="J71" s="113">
        <f>IF(원자료!E86="","미확인",원자료!E86)</f>
        <v/>
      </c>
      <c r="K71" s="115">
        <f>IF(AND(ISNUMBER(I71),ISNUMBER(J71)),IF(I71=0,IF(J71&gt;0,"흑자전환",IF(J71=0,"손익분기","미확인")),IF(I71&lt;0,IF(J71&gt;0,"흑자전환",IF(J71=0,"손익분기","적자지속")),IF(J71&lt;0,"적자전환",IF(J71=0,-1,J71/I71-1)))),"미확인")</f>
        <v/>
      </c>
      <c r="L71" s="116">
        <f>IF(ISNUMBER(G71),IF(G71&gt;0,E71/G71,"적자"),"미산출")</f>
        <v/>
      </c>
      <c r="M71" s="117">
        <f>IF(ISNUMBER(J71),IF(J71&gt;0,E71/J71,"적자"),"미산출")</f>
        <v/>
      </c>
      <c r="N71" s="118">
        <f>IF(원자료!O86="","미확인",원자료!O86)</f>
        <v/>
      </c>
      <c r="O71" s="117" t="n">
        <v>31</v>
      </c>
      <c r="P71" s="117" t="n">
        <v>19.2</v>
      </c>
      <c r="Q71" s="19" t="inlineStr">
        <is>
          <t>기존 / †</t>
        </is>
      </c>
      <c r="R71" s="1" t="n"/>
      <c r="S71" s="1" t="n"/>
    </row>
    <row r="72" ht="21.95" customHeight="1">
      <c r="A72" s="18" t="n">
        <v>9</v>
      </c>
      <c r="B72" s="19" t="inlineStr">
        <is>
          <t>원익머트리얼즈</t>
        </is>
      </c>
      <c r="C72" s="112" t="inlineStr">
        <is>
          <t>104830</t>
        </is>
      </c>
      <c r="D72" s="113">
        <f>원자료!I16</f>
        <v/>
      </c>
      <c r="E72" s="113">
        <f>D72*원자료!J16/100000000</f>
        <v/>
      </c>
      <c r="F72" s="114">
        <f>IF(원자료!T16="","미확인",원자료!T16)</f>
        <v/>
      </c>
      <c r="G72" s="113">
        <f>IF(원자료!D16="","미확인",원자료!D16)</f>
        <v/>
      </c>
      <c r="H72" s="115">
        <f>IF(AND(ISNUMBER(F72),ISNUMBER(G72)),IF(F72=0,IF(G72&gt;0,"흑자전환",IF(G72=0,"손익분기","미확인")),IF(F72&lt;0,IF(G72&gt;0,"흑자전환",IF(G72=0,"손익분기","적자지속")),IF(G72&lt;0,"적자전환",IF(G72=0,-1,G72/F72-1)))),"미확인")</f>
        <v/>
      </c>
      <c r="I72" s="114">
        <f>IF(원자료!U16="","미확인",원자료!U16)</f>
        <v/>
      </c>
      <c r="J72" s="113">
        <f>IF(원자료!E16="","미확인",원자료!E16)</f>
        <v/>
      </c>
      <c r="K72" s="115">
        <f>IF(AND(ISNUMBER(I72),ISNUMBER(J72)),IF(I72=0,IF(J72&gt;0,"흑자전환",IF(J72=0,"손익분기","미확인")),IF(I72&lt;0,IF(J72&gt;0,"흑자전환",IF(J72=0,"손익분기","적자지속")),IF(J72&lt;0,"적자전환",IF(J72=0,-1,J72/I72-1)))),"미확인")</f>
        <v/>
      </c>
      <c r="L72" s="116">
        <f>IF(ISNUMBER(G72),IF(G72&gt;0,E72/G72,"적자"),"미산출")</f>
        <v/>
      </c>
      <c r="M72" s="117">
        <f>IF(ISNUMBER(J72),IF(J72&gt;0,E72/J72,"적자"),"미산출")</f>
        <v/>
      </c>
      <c r="N72" s="118">
        <f>IF(원자료!O16="","미확인",원자료!O16)</f>
        <v/>
      </c>
      <c r="O72" s="117" t="n">
        <v>6.6</v>
      </c>
      <c r="P72" s="117" t="n">
        <v>5.5</v>
      </c>
      <c r="Q72" s="19" t="inlineStr">
        <is>
          <t>기존 / 원표 기준</t>
        </is>
      </c>
      <c r="R72" s="1" t="n"/>
      <c r="S72" s="1" t="n"/>
    </row>
    <row r="73" ht="21.95" customHeight="1">
      <c r="A73" s="18" t="n">
        <v>64</v>
      </c>
      <c r="B73" s="24" t="inlineStr">
        <is>
          <t>티씨케이</t>
        </is>
      </c>
      <c r="C73" s="91" t="inlineStr">
        <is>
          <t>064760</t>
        </is>
      </c>
      <c r="D73" s="92">
        <f>원자료!I76</f>
        <v/>
      </c>
      <c r="E73" s="92">
        <f>D73*원자료!J76/100000000</f>
        <v/>
      </c>
      <c r="F73" s="93">
        <f>IF(원자료!T76="","미확인",원자료!T76)</f>
        <v/>
      </c>
      <c r="G73" s="92">
        <f>IF(원자료!D76="","미확인",원자료!D76)</f>
        <v/>
      </c>
      <c r="H73" s="94">
        <f>IF(AND(ISNUMBER(F73),ISNUMBER(G73)),IF(F73=0,IF(G73&gt;0,"흑자전환",IF(G73=0,"손익분기","미확인")),IF(F73&lt;0,IF(G73&gt;0,"흑자전환",IF(G73=0,"손익분기","적자지속")),IF(G73&lt;0,"적자전환",IF(G73=0,-1,G73/F73-1)))),"미확인")</f>
        <v/>
      </c>
      <c r="I73" s="93">
        <f>IF(원자료!U76="","미확인",원자료!U76)</f>
        <v/>
      </c>
      <c r="J73" s="92">
        <f>IF(원자료!E76="","미확인",원자료!E76)</f>
        <v/>
      </c>
      <c r="K73" s="94">
        <f>IF(AND(ISNUMBER(I73),ISNUMBER(J73)),IF(I73=0,IF(J73&gt;0,"흑자전환",IF(J73=0,"손익분기","미확인")),IF(I73&lt;0,IF(J73&gt;0,"흑자전환",IF(J73=0,"손익분기","적자지속")),IF(J73&lt;0,"적자전환",IF(J73=0,-1,J73/I73-1)))),"미확인")</f>
        <v/>
      </c>
      <c r="L73" s="95">
        <f>IF(ISNUMBER(G73),IF(G73&gt;0,E73/G73,"적자"),"미산출")</f>
        <v/>
      </c>
      <c r="M73" s="96">
        <f>IF(ISNUMBER(J73),IF(J73&gt;0,E73/J73,"적자"),"미산출")</f>
        <v/>
      </c>
      <c r="N73" s="97">
        <f>IF(원자료!O76="","미확인",원자료!O76)</f>
        <v/>
      </c>
      <c r="O73" s="96" t="n">
        <v>23.3</v>
      </c>
      <c r="P73" s="96" t="n">
        <v>19.3</v>
      </c>
      <c r="Q73" s="24" t="inlineStr">
        <is>
          <t>기존 / 원표 기준</t>
        </is>
      </c>
      <c r="R73" s="1" t="n"/>
      <c r="S73" s="1" t="n"/>
    </row>
    <row r="74" ht="21.95" customHeight="1">
      <c r="A74" s="18" t="n">
        <v>54</v>
      </c>
      <c r="B74" s="24" t="inlineStr">
        <is>
          <t>티에스이</t>
        </is>
      </c>
      <c r="C74" s="91" t="inlineStr">
        <is>
          <t>131290</t>
        </is>
      </c>
      <c r="D74" s="92">
        <f>원자료!I61</f>
        <v/>
      </c>
      <c r="E74" s="92">
        <f>D74*원자료!J61/100000000</f>
        <v/>
      </c>
      <c r="F74" s="93">
        <f>IF(원자료!T61="","미확인",원자료!T61)</f>
        <v/>
      </c>
      <c r="G74" s="92">
        <f>IF(원자료!D61="","미확인",원자료!D61)</f>
        <v/>
      </c>
      <c r="H74" s="94">
        <f>IF(AND(ISNUMBER(F74),ISNUMBER(G74)),IF(F74=0,IF(G74&gt;0,"흑자전환",IF(G74=0,"손익분기","미확인")),IF(F74&lt;0,IF(G74&gt;0,"흑자전환",IF(G74=0,"손익분기","적자지속")),IF(G74&lt;0,"적자전환",IF(G74=0,-1,G74/F74-1)))),"미확인")</f>
        <v/>
      </c>
      <c r="I74" s="93">
        <f>IF(원자료!U61="","미확인",원자료!U61)</f>
        <v/>
      </c>
      <c r="J74" s="92">
        <f>IF(원자료!E61="","미확인",원자료!E61)</f>
        <v/>
      </c>
      <c r="K74" s="94">
        <f>IF(AND(ISNUMBER(I74),ISNUMBER(J74)),IF(I74=0,IF(J74&gt;0,"흑자전환",IF(J74=0,"손익분기","미확인")),IF(I74&lt;0,IF(J74&gt;0,"흑자전환",IF(J74=0,"손익분기","적자지속")),IF(J74&lt;0,"적자전환",IF(J74=0,-1,J74/I74-1)))),"미확인")</f>
        <v/>
      </c>
      <c r="L74" s="95">
        <f>IF(ISNUMBER(G74),IF(G74&gt;0,E74/G74,"적자"),"미산출")</f>
        <v/>
      </c>
      <c r="M74" s="96">
        <f>IF(ISNUMBER(J74),IF(J74&gt;0,E74/J74,"적자"),"미산출")</f>
        <v/>
      </c>
      <c r="N74" s="97">
        <f>IF(원자료!O61="","미확인",원자료!O61)</f>
        <v/>
      </c>
      <c r="O74" s="96" t="n">
        <v>18.2</v>
      </c>
      <c r="P74" s="96" t="n">
        <v>13.8</v>
      </c>
      <c r="Q74" s="24" t="inlineStr">
        <is>
          <t>기존 / †</t>
        </is>
      </c>
      <c r="R74" s="1" t="n"/>
      <c r="S74" s="1" t="n"/>
    </row>
    <row r="75" ht="21.95" customHeight="1">
      <c r="A75" s="18" t="n">
        <v>42</v>
      </c>
      <c r="B75" s="24" t="inlineStr">
        <is>
          <t>솔브레인</t>
        </is>
      </c>
      <c r="C75" s="91" t="inlineStr">
        <is>
          <t>357780</t>
        </is>
      </c>
      <c r="D75" s="92">
        <f>원자료!I51</f>
        <v/>
      </c>
      <c r="E75" s="92">
        <f>D75*원자료!J51/100000000</f>
        <v/>
      </c>
      <c r="F75" s="93">
        <f>IF(원자료!T51="","미확인",원자료!T51)</f>
        <v/>
      </c>
      <c r="G75" s="92">
        <f>IF(원자료!D51="","미확인",원자료!D51)</f>
        <v/>
      </c>
      <c r="H75" s="94">
        <f>IF(AND(ISNUMBER(F75),ISNUMBER(G75)),IF(F75=0,IF(G75&gt;0,"흑자전환",IF(G75=0,"손익분기","미확인")),IF(F75&lt;0,IF(G75&gt;0,"흑자전환",IF(G75=0,"손익분기","적자지속")),IF(G75&lt;0,"적자전환",IF(G75=0,-1,G75/F75-1)))),"미확인")</f>
        <v/>
      </c>
      <c r="I75" s="93">
        <f>IF(원자료!U51="","미확인",원자료!U51)</f>
        <v/>
      </c>
      <c r="J75" s="92">
        <f>IF(원자료!E51="","미확인",원자료!E51)</f>
        <v/>
      </c>
      <c r="K75" s="94">
        <f>IF(AND(ISNUMBER(I75),ISNUMBER(J75)),IF(I75=0,IF(J75&gt;0,"흑자전환",IF(J75=0,"손익분기","미확인")),IF(I75&lt;0,IF(J75&gt;0,"흑자전환",IF(J75=0,"손익분기","적자지속")),IF(J75&lt;0,"적자전환",IF(J75=0,-1,J75/I75-1)))),"미확인")</f>
        <v/>
      </c>
      <c r="L75" s="95">
        <f>IF(ISNUMBER(G75),IF(G75&gt;0,E75/G75,"적자"),"미산출")</f>
        <v/>
      </c>
      <c r="M75" s="96">
        <f>IF(ISNUMBER(J75),IF(J75&gt;0,E75/J75,"적자"),"미산출")</f>
        <v/>
      </c>
      <c r="N75" s="97">
        <f>IF(원자료!O51="","미확인",원자료!O51)</f>
        <v/>
      </c>
      <c r="O75" s="96" t="n">
        <v>14.1</v>
      </c>
      <c r="P75" s="96" t="n">
        <v>11.2</v>
      </c>
      <c r="Q75" s="24" t="inlineStr">
        <is>
          <t>기존 / 원표 기준</t>
        </is>
      </c>
      <c r="R75" s="1" t="n"/>
      <c r="S75" s="1" t="n"/>
    </row>
    <row r="76" ht="21.95" customHeight="1">
      <c r="A76" s="18" t="n">
        <v>2</v>
      </c>
      <c r="B76" s="24" t="inlineStr">
        <is>
          <t>SK하이닉스</t>
        </is>
      </c>
      <c r="C76" s="91" t="inlineStr">
        <is>
          <t>000660</t>
        </is>
      </c>
      <c r="D76" s="92">
        <f>원자료!I11</f>
        <v/>
      </c>
      <c r="E76" s="92">
        <f>D76*원자료!J11/100000000</f>
        <v/>
      </c>
      <c r="F76" s="93">
        <f>IF(원자료!T11="","미확인",원자료!T11)</f>
        <v/>
      </c>
      <c r="G76" s="92">
        <f>IF(원자료!D11="","미확인",원자료!D11)</f>
        <v/>
      </c>
      <c r="H76" s="94">
        <f>IF(AND(ISNUMBER(F76),ISNUMBER(G76)),IF(F76=0,IF(G76&gt;0,"흑자전환",IF(G76=0,"손익분기","미확인")),IF(F76&lt;0,IF(G76&gt;0,"흑자전환",IF(G76=0,"손익분기","적자지속")),IF(G76&lt;0,"적자전환",IF(G76=0,-1,G76/F76-1)))),"미확인")</f>
        <v/>
      </c>
      <c r="I76" s="93">
        <f>IF(원자료!U11="","미확인",원자료!U11)</f>
        <v/>
      </c>
      <c r="J76" s="92">
        <f>IF(원자료!E11="","미확인",원자료!E11)</f>
        <v/>
      </c>
      <c r="K76" s="94">
        <f>IF(AND(ISNUMBER(I76),ISNUMBER(J76)),IF(I76=0,IF(J76&gt;0,"흑자전환",IF(J76=0,"손익분기","미확인")),IF(I76&lt;0,IF(J76&gt;0,"흑자전환",IF(J76=0,"손익분기","적자지속")),IF(J76&lt;0,"적자전환",IF(J76=0,-1,J76/I76-1)))),"미확인")</f>
        <v/>
      </c>
      <c r="L76" s="95">
        <f>IF(ISNUMBER(G76),IF(G76&gt;0,E76/G76,"적자"),"미산출")</f>
        <v/>
      </c>
      <c r="M76" s="96">
        <f>IF(ISNUMBER(J76),IF(J76&gt;0,E76/J76,"적자"),"미산출")</f>
        <v/>
      </c>
      <c r="N76" s="97">
        <f>IF(원자료!O11="","미확인",원자료!O11)</f>
        <v/>
      </c>
      <c r="O76" s="96" t="n">
        <v>3.6</v>
      </c>
      <c r="P76" s="96" t="n">
        <v>2.9</v>
      </c>
      <c r="Q76" s="24" t="inlineStr">
        <is>
          <t>기존 / 원표 기준</t>
        </is>
      </c>
      <c r="R76" s="1" t="n"/>
      <c r="S76" s="1" t="n"/>
    </row>
    <row r="77" ht="21.95" customHeight="1">
      <c r="A77" s="18" t="n">
        <v>63</v>
      </c>
      <c r="B77" s="19" t="inlineStr">
        <is>
          <t>테스</t>
        </is>
      </c>
      <c r="C77" s="112" t="inlineStr">
        <is>
          <t>095610</t>
        </is>
      </c>
      <c r="D77" s="113">
        <f>원자료!I75</f>
        <v/>
      </c>
      <c r="E77" s="113">
        <f>D77*원자료!J75/100000000</f>
        <v/>
      </c>
      <c r="F77" s="114">
        <f>IF(원자료!T75="","미확인",원자료!T75)</f>
        <v/>
      </c>
      <c r="G77" s="113">
        <f>IF(원자료!D75="","미확인",원자료!D75)</f>
        <v/>
      </c>
      <c r="H77" s="115">
        <f>IF(AND(ISNUMBER(F77),ISNUMBER(G77)),IF(F77=0,IF(G77&gt;0,"흑자전환",IF(G77=0,"손익분기","미확인")),IF(F77&lt;0,IF(G77&gt;0,"흑자전환",IF(G77=0,"손익분기","적자지속")),IF(G77&lt;0,"적자전환",IF(G77=0,-1,G77/F77-1)))),"미확인")</f>
        <v/>
      </c>
      <c r="I77" s="114">
        <f>IF(원자료!U75="","미확인",원자료!U75)</f>
        <v/>
      </c>
      <c r="J77" s="113">
        <f>IF(원자료!E75="","미확인",원자료!E75)</f>
        <v/>
      </c>
      <c r="K77" s="115">
        <f>IF(AND(ISNUMBER(I77),ISNUMBER(J77)),IF(I77=0,IF(J77&gt;0,"흑자전환",IF(J77=0,"손익분기","미확인")),IF(I77&lt;0,IF(J77&gt;0,"흑자전환",IF(J77=0,"손익분기","적자지속")),IF(J77&lt;0,"적자전환",IF(J77=0,-1,J77/I77-1)))),"미확인")</f>
        <v/>
      </c>
      <c r="L77" s="116">
        <f>IF(ISNUMBER(G77),IF(G77&gt;0,E77/G77,"적자"),"미산출")</f>
        <v/>
      </c>
      <c r="M77" s="117">
        <f>IF(ISNUMBER(J77),IF(J77&gt;0,E77/J77,"적자"),"미산출")</f>
        <v/>
      </c>
      <c r="N77" s="118">
        <f>IF(원자료!O75="","미확인",원자료!O75)</f>
        <v/>
      </c>
      <c r="O77" s="117" t="n">
        <v>23.3</v>
      </c>
      <c r="P77" s="117" t="n">
        <v>22.2</v>
      </c>
      <c r="Q77" s="19" t="inlineStr">
        <is>
          <t>기존 / 원표 기준</t>
        </is>
      </c>
      <c r="R77" s="1" t="n"/>
      <c r="S77" s="1" t="n"/>
    </row>
    <row r="78" ht="21.95" customHeight="1">
      <c r="A78" s="18" t="n">
        <v>11</v>
      </c>
      <c r="B78" s="19" t="inlineStr">
        <is>
          <t>싸이맥스</t>
        </is>
      </c>
      <c r="C78" s="112" t="inlineStr">
        <is>
          <t>160980</t>
        </is>
      </c>
      <c r="D78" s="113">
        <f>원자료!I22</f>
        <v/>
      </c>
      <c r="E78" s="113">
        <f>D78*원자료!J22/100000000</f>
        <v/>
      </c>
      <c r="F78" s="114">
        <f>IF(원자료!T22="","미확인",원자료!T22)</f>
        <v/>
      </c>
      <c r="G78" s="113">
        <f>IF(원자료!D22="","미확인",원자료!D22)</f>
        <v/>
      </c>
      <c r="H78" s="115">
        <f>IF(AND(ISNUMBER(F78),ISNUMBER(G78)),IF(F78=0,IF(G78&gt;0,"흑자전환",IF(G78=0,"손익분기","미확인")),IF(F78&lt;0,IF(G78&gt;0,"흑자전환",IF(G78=0,"손익분기","적자지속")),IF(G78&lt;0,"적자전환",IF(G78=0,-1,G78/F78-1)))),"미확인")</f>
        <v/>
      </c>
      <c r="I78" s="114">
        <f>IF(원자료!U22="","미확인",원자료!U22)</f>
        <v/>
      </c>
      <c r="J78" s="113">
        <f>IF(원자료!E22="","미확인",원자료!E22)</f>
        <v/>
      </c>
      <c r="K78" s="115">
        <f>IF(AND(ISNUMBER(I78),ISNUMBER(J78)),IF(I78=0,IF(J78&gt;0,"흑자전환",IF(J78=0,"손익분기","미확인")),IF(I78&lt;0,IF(J78&gt;0,"흑자전환",IF(J78=0,"손익분기","적자지속")),IF(J78&lt;0,"적자전환",IF(J78=0,-1,J78/I78-1)))),"미확인")</f>
        <v/>
      </c>
      <c r="L78" s="116">
        <f>IF(ISNUMBER(G78),IF(G78&gt;0,E78/G78,"적자"),"미산출")</f>
        <v/>
      </c>
      <c r="M78" s="117">
        <f>IF(ISNUMBER(J78),IF(J78&gt;0,E78/J78,"적자"),"미산출")</f>
        <v/>
      </c>
      <c r="N78" s="118">
        <f>IF(원자료!O22="","미확인",원자료!O22)</f>
        <v/>
      </c>
      <c r="O78" s="117" t="n">
        <v>8.1</v>
      </c>
      <c r="P78" s="117" t="n">
        <v>6.4</v>
      </c>
      <c r="Q78" s="19" t="inlineStr">
        <is>
          <t>기존 / 원표 기준</t>
        </is>
      </c>
      <c r="R78" s="1" t="n"/>
      <c r="S78" s="1" t="n"/>
    </row>
    <row r="79" ht="21.95" customHeight="1">
      <c r="A79" s="18" t="n">
        <v>27</v>
      </c>
      <c r="B79" s="19" t="inlineStr">
        <is>
          <t>삼양엔씨켐</t>
        </is>
      </c>
      <c r="C79" s="112" t="inlineStr">
        <is>
          <t>482630</t>
        </is>
      </c>
      <c r="D79" s="113">
        <f>원자료!I33</f>
        <v/>
      </c>
      <c r="E79" s="113">
        <f>D79*원자료!J33/100000000</f>
        <v/>
      </c>
      <c r="F79" s="114">
        <f>IF(원자료!T33="","미확인",원자료!T33)</f>
        <v/>
      </c>
      <c r="G79" s="113">
        <f>IF(원자료!D33="","미확인",원자료!D33)</f>
        <v/>
      </c>
      <c r="H79" s="115">
        <f>IF(AND(ISNUMBER(F79),ISNUMBER(G79)),IF(F79=0,IF(G79&gt;0,"흑자전환",IF(G79=0,"손익분기","미확인")),IF(F79&lt;0,IF(G79&gt;0,"흑자전환",IF(G79=0,"손익분기","적자지속")),IF(G79&lt;0,"적자전환",IF(G79=0,-1,G79/F79-1)))),"미확인")</f>
        <v/>
      </c>
      <c r="I79" s="114">
        <f>IF(원자료!U33="","미확인",원자료!U33)</f>
        <v/>
      </c>
      <c r="J79" s="113">
        <f>IF(원자료!E33="","미확인",원자료!E33)</f>
        <v/>
      </c>
      <c r="K79" s="115">
        <f>IF(AND(ISNUMBER(I79),ISNUMBER(J79)),IF(I79=0,IF(J79&gt;0,"흑자전환",IF(J79=0,"손익분기","미확인")),IF(I79&lt;0,IF(J79&gt;0,"흑자전환",IF(J79=0,"손익분기","적자지속")),IF(J79&lt;0,"적자전환",IF(J79=0,-1,J79/I79-1)))),"미확인")</f>
        <v/>
      </c>
      <c r="L79" s="116">
        <f>IF(ISNUMBER(G79),IF(G79&gt;0,E79/G79,"적자"),"미산출")</f>
        <v/>
      </c>
      <c r="M79" s="117">
        <f>IF(ISNUMBER(J79),IF(J79&gt;0,E79/J79,"적자"),"미산출")</f>
        <v/>
      </c>
      <c r="N79" s="118">
        <f>IF(원자료!O33="","미확인",원자료!O33)</f>
        <v/>
      </c>
      <c r="O79" s="117" t="n">
        <v>10.7</v>
      </c>
      <c r="P79" s="117" t="n">
        <v>9.9</v>
      </c>
      <c r="Q79" s="19" t="inlineStr">
        <is>
          <t>기존 / 원표 기준</t>
        </is>
      </c>
      <c r="R79" s="1" t="n"/>
      <c r="S79" s="1" t="n"/>
    </row>
    <row r="80" ht="21.95" customHeight="1">
      <c r="A80" s="18" t="n">
        <v>20</v>
      </c>
      <c r="B80" s="24" t="inlineStr">
        <is>
          <t>원익QnC</t>
        </is>
      </c>
      <c r="C80" s="91" t="inlineStr">
        <is>
          <t>074600</t>
        </is>
      </c>
      <c r="D80" s="92">
        <f>원자료!I30</f>
        <v/>
      </c>
      <c r="E80" s="92">
        <f>D80*원자료!J30/100000000</f>
        <v/>
      </c>
      <c r="F80" s="93">
        <f>IF(원자료!T30="","미확인",원자료!T30)</f>
        <v/>
      </c>
      <c r="G80" s="92">
        <f>IF(원자료!D30="","미확인",원자료!D30)</f>
        <v/>
      </c>
      <c r="H80" s="94">
        <f>IF(AND(ISNUMBER(F80),ISNUMBER(G80)),IF(F80=0,IF(G80&gt;0,"흑자전환",IF(G80=0,"손익분기","미확인")),IF(F80&lt;0,IF(G80&gt;0,"흑자전환",IF(G80=0,"손익분기","적자지속")),IF(G80&lt;0,"적자전환",IF(G80=0,-1,G80/F80-1)))),"미확인")</f>
        <v/>
      </c>
      <c r="I80" s="93">
        <f>IF(원자료!U30="","미확인",원자료!U30)</f>
        <v/>
      </c>
      <c r="J80" s="92">
        <f>IF(원자료!E30="","미확인",원자료!E30)</f>
        <v/>
      </c>
      <c r="K80" s="94">
        <f>IF(AND(ISNUMBER(I80),ISNUMBER(J80)),IF(I80=0,IF(J80&gt;0,"흑자전환",IF(J80=0,"손익분기","미확인")),IF(I80&lt;0,IF(J80&gt;0,"흑자전환",IF(J80=0,"손익분기","적자지속")),IF(J80&lt;0,"적자전환",IF(J80=0,-1,J80/I80-1)))),"미확인")</f>
        <v/>
      </c>
      <c r="L80" s="95">
        <f>IF(ISNUMBER(G80),IF(G80&gt;0,E80/G80,"적자"),"미산출")</f>
        <v/>
      </c>
      <c r="M80" s="96">
        <f>IF(ISNUMBER(J80),IF(J80&gt;0,E80/J80,"적자"),"미산출")</f>
        <v/>
      </c>
      <c r="N80" s="97">
        <f>IF(원자료!O30="","미확인",원자료!O30)</f>
        <v/>
      </c>
      <c r="O80" s="96" t="n">
        <v>9.6</v>
      </c>
      <c r="P80" s="96" t="n">
        <v>5.7</v>
      </c>
      <c r="Q80" s="24" t="inlineStr">
        <is>
          <t>기존 / †</t>
        </is>
      </c>
      <c r="R80" s="1" t="n"/>
      <c r="S80" s="1" t="n"/>
    </row>
    <row r="81" ht="21.95" customHeight="1">
      <c r="A81" s="18" t="n">
        <v>34</v>
      </c>
      <c r="B81" s="24" t="inlineStr">
        <is>
          <t>GST</t>
        </is>
      </c>
      <c r="C81" s="91" t="inlineStr">
        <is>
          <t>083450</t>
        </is>
      </c>
      <c r="D81" s="92">
        <f>원자료!I44</f>
        <v/>
      </c>
      <c r="E81" s="92">
        <f>D81*원자료!J44/100000000</f>
        <v/>
      </c>
      <c r="F81" s="93">
        <f>IF(원자료!T44="","미확인",원자료!T44)</f>
        <v/>
      </c>
      <c r="G81" s="92">
        <f>IF(원자료!D44="","미확인",원자료!D44)</f>
        <v/>
      </c>
      <c r="H81" s="94">
        <f>IF(AND(ISNUMBER(F81),ISNUMBER(G81)),IF(F81=0,IF(G81&gt;0,"흑자전환",IF(G81=0,"손익분기","미확인")),IF(F81&lt;0,IF(G81&gt;0,"흑자전환",IF(G81=0,"손익분기","적자지속")),IF(G81&lt;0,"적자전환",IF(G81=0,-1,G81/F81-1)))),"미확인")</f>
        <v/>
      </c>
      <c r="I81" s="93">
        <f>IF(원자료!U44="","미확인",원자료!U44)</f>
        <v/>
      </c>
      <c r="J81" s="92">
        <f>IF(원자료!E44="","미확인",원자료!E44)</f>
        <v/>
      </c>
      <c r="K81" s="94">
        <f>IF(AND(ISNUMBER(I81),ISNUMBER(J81)),IF(I81=0,IF(J81&gt;0,"흑자전환",IF(J81=0,"손익분기","미확인")),IF(I81&lt;0,IF(J81&gt;0,"흑자전환",IF(J81=0,"손익분기","적자지속")),IF(J81&lt;0,"적자전환",IF(J81=0,-1,J81/I81-1)))),"미확인")</f>
        <v/>
      </c>
      <c r="L81" s="95">
        <f>IF(ISNUMBER(G81),IF(G81&gt;0,E81/G81,"적자"),"미산출")</f>
        <v/>
      </c>
      <c r="M81" s="96">
        <f>IF(ISNUMBER(J81),IF(J81&gt;0,E81/J81,"적자"),"미산출")</f>
        <v/>
      </c>
      <c r="N81" s="97">
        <f>IF(원자료!O44="","미확인",원자료!O44)</f>
        <v/>
      </c>
      <c r="O81" s="96" t="n">
        <v>13.1</v>
      </c>
      <c r="P81" s="96" t="n">
        <v>10.8</v>
      </c>
      <c r="Q81" s="24" t="inlineStr">
        <is>
          <t>기존 / 원표 기준</t>
        </is>
      </c>
      <c r="R81" s="1" t="n"/>
      <c r="S81" s="1" t="n"/>
    </row>
    <row r="82" ht="21.95" customHeight="1">
      <c r="A82" s="18" t="n">
        <v>24</v>
      </c>
      <c r="B82" s="24" t="inlineStr">
        <is>
          <t>DB하이텍</t>
        </is>
      </c>
      <c r="C82" s="91" t="inlineStr">
        <is>
          <t>000990</t>
        </is>
      </c>
      <c r="D82" s="92">
        <f>원자료!I35</f>
        <v/>
      </c>
      <c r="E82" s="92">
        <f>D82*원자료!J35/100000000</f>
        <v/>
      </c>
      <c r="F82" s="93">
        <f>IF(원자료!T35="","미확인",원자료!T35)</f>
        <v/>
      </c>
      <c r="G82" s="92">
        <f>IF(원자료!D35="","미확인",원자료!D35)</f>
        <v/>
      </c>
      <c r="H82" s="94">
        <f>IF(AND(ISNUMBER(F82),ISNUMBER(G82)),IF(F82=0,IF(G82&gt;0,"흑자전환",IF(G82=0,"손익분기","미확인")),IF(F82&lt;0,IF(G82&gt;0,"흑자전환",IF(G82=0,"손익분기","적자지속")),IF(G82&lt;0,"적자전환",IF(G82=0,-1,G82/F82-1)))),"미확인")</f>
        <v/>
      </c>
      <c r="I82" s="93">
        <f>IF(원자료!U35="","미확인",원자료!U35)</f>
        <v/>
      </c>
      <c r="J82" s="92">
        <f>IF(원자료!E35="","미확인",원자료!E35)</f>
        <v/>
      </c>
      <c r="K82" s="94">
        <f>IF(AND(ISNUMBER(I82),ISNUMBER(J82)),IF(I82=0,IF(J82&gt;0,"흑자전환",IF(J82=0,"손익분기","미확인")),IF(I82&lt;0,IF(J82&gt;0,"흑자전환",IF(J82=0,"손익분기","적자지속")),IF(J82&lt;0,"적자전환",IF(J82=0,-1,J82/I82-1)))),"미확인")</f>
        <v/>
      </c>
      <c r="L82" s="95">
        <f>IF(ISNUMBER(G82),IF(G82&gt;0,E82/G82,"적자"),"미산출")</f>
        <v/>
      </c>
      <c r="M82" s="96">
        <f>IF(ISNUMBER(J82),IF(J82&gt;0,E82/J82,"적자"),"미산출")</f>
        <v/>
      </c>
      <c r="N82" s="97">
        <f>IF(원자료!O35="","미확인",원자료!O35)</f>
        <v/>
      </c>
      <c r="O82" s="96" t="n">
        <v>11.6</v>
      </c>
      <c r="P82" s="96" t="n">
        <v>10.4</v>
      </c>
      <c r="Q82" s="24" t="inlineStr">
        <is>
          <t>기존 / 원표 기준</t>
        </is>
      </c>
      <c r="R82" s="1" t="n"/>
      <c r="S82" s="1" t="n"/>
    </row>
    <row r="83" ht="21.95" customHeight="1">
      <c r="A83" s="18" t="n">
        <v>45</v>
      </c>
      <c r="B83" s="19" t="inlineStr">
        <is>
          <t>한솔케미칼</t>
        </is>
      </c>
      <c r="C83" s="112" t="inlineStr">
        <is>
          <t>014680</t>
        </is>
      </c>
      <c r="D83" s="113">
        <f>원자료!I48</f>
        <v/>
      </c>
      <c r="E83" s="113">
        <f>D83*원자료!J48/100000000</f>
        <v/>
      </c>
      <c r="F83" s="114">
        <f>IF(원자료!T48="","미확인",원자료!T48)</f>
        <v/>
      </c>
      <c r="G83" s="113">
        <f>IF(원자료!D48="","미확인",원자료!D48)</f>
        <v/>
      </c>
      <c r="H83" s="115">
        <f>IF(AND(ISNUMBER(F83),ISNUMBER(G83)),IF(F83=0,IF(G83&gt;0,"흑자전환",IF(G83=0,"손익분기","미확인")),IF(F83&lt;0,IF(G83&gt;0,"흑자전환",IF(G83=0,"손익분기","적자지속")),IF(G83&lt;0,"적자전환",IF(G83=0,-1,G83/F83-1)))),"미확인")</f>
        <v/>
      </c>
      <c r="I83" s="114">
        <f>IF(원자료!U48="","미확인",원자료!U48)</f>
        <v/>
      </c>
      <c r="J83" s="113">
        <f>IF(원자료!E48="","미확인",원자료!E48)</f>
        <v/>
      </c>
      <c r="K83" s="115">
        <f>IF(AND(ISNUMBER(I83),ISNUMBER(J83)),IF(I83=0,IF(J83&gt;0,"흑자전환",IF(J83=0,"손익분기","미확인")),IF(I83&lt;0,IF(J83&gt;0,"흑자전환",IF(J83=0,"손익분기","적자지속")),IF(J83&lt;0,"적자전환",IF(J83=0,-1,J83/I83-1)))),"미확인")</f>
        <v/>
      </c>
      <c r="L83" s="116">
        <f>IF(ISNUMBER(G83),IF(G83&gt;0,E83/G83,"적자"),"미산출")</f>
        <v/>
      </c>
      <c r="M83" s="117">
        <f>IF(ISNUMBER(J83),IF(J83&gt;0,E83/J83,"적자"),"미산출")</f>
        <v/>
      </c>
      <c r="N83" s="118">
        <f>IF(원자료!O48="","미확인",원자료!O48)</f>
        <v/>
      </c>
      <c r="O83" s="117" t="n">
        <v>14</v>
      </c>
      <c r="P83" s="117" t="n">
        <v>12.5</v>
      </c>
      <c r="Q83" s="19" t="inlineStr">
        <is>
          <t>기존 / 원표 기준</t>
        </is>
      </c>
      <c r="R83" s="1" t="n"/>
      <c r="S83" s="1" t="n"/>
    </row>
    <row r="84" ht="21.95" customHeight="1">
      <c r="A84" s="18" t="n">
        <v>59</v>
      </c>
      <c r="B84" s="19" t="inlineStr">
        <is>
          <t>피에스케이</t>
        </is>
      </c>
      <c r="C84" s="112" t="inlineStr">
        <is>
          <t>319660</t>
        </is>
      </c>
      <c r="D84" s="113">
        <f>원자료!I68</f>
        <v/>
      </c>
      <c r="E84" s="113">
        <f>D84*원자료!J68/100000000</f>
        <v/>
      </c>
      <c r="F84" s="114">
        <f>IF(원자료!T68="","미확인",원자료!T68)</f>
        <v/>
      </c>
      <c r="G84" s="113">
        <f>IF(원자료!D68="","미확인",원자료!D68)</f>
        <v/>
      </c>
      <c r="H84" s="115">
        <f>IF(AND(ISNUMBER(F84),ISNUMBER(G84)),IF(F84=0,IF(G84&gt;0,"흑자전환",IF(G84=0,"손익분기","미확인")),IF(F84&lt;0,IF(G84&gt;0,"흑자전환",IF(G84=0,"손익분기","적자지속")),IF(G84&lt;0,"적자전환",IF(G84=0,-1,G84/F84-1)))),"미확인")</f>
        <v/>
      </c>
      <c r="I84" s="114">
        <f>IF(원자료!U68="","미확인",원자료!U68)</f>
        <v/>
      </c>
      <c r="J84" s="113">
        <f>IF(원자료!E68="","미확인",원자료!E68)</f>
        <v/>
      </c>
      <c r="K84" s="115">
        <f>IF(AND(ISNUMBER(I84),ISNUMBER(J84)),IF(I84=0,IF(J84&gt;0,"흑자전환",IF(J84=0,"손익분기","미확인")),IF(I84&lt;0,IF(J84&gt;0,"흑자전환",IF(J84=0,"손익분기","적자지속")),IF(J84&lt;0,"적자전환",IF(J84=0,-1,J84/I84-1)))),"미확인")</f>
        <v/>
      </c>
      <c r="L84" s="116">
        <f>IF(ISNUMBER(G84),IF(G84&gt;0,E84/G84,"적자"),"미산출")</f>
        <v/>
      </c>
      <c r="M84" s="117">
        <f>IF(ISNUMBER(J84),IF(J84&gt;0,E84/J84,"적자"),"미산출")</f>
        <v/>
      </c>
      <c r="N84" s="118">
        <f>IF(원자료!O68="","미확인",원자료!O68)</f>
        <v/>
      </c>
      <c r="O84" s="117" t="n">
        <v>20.5</v>
      </c>
      <c r="P84" s="117" t="n">
        <v>17.4</v>
      </c>
      <c r="Q84" s="19" t="inlineStr">
        <is>
          <t>기존 / 원표 기준</t>
        </is>
      </c>
      <c r="R84" s="1" t="n"/>
      <c r="S84" s="1" t="n"/>
    </row>
    <row r="85" ht="21.95" customHeight="1">
      <c r="A85" s="18" t="n">
        <v>75</v>
      </c>
      <c r="B85" s="19" t="inlineStr">
        <is>
          <t>리노공업</t>
        </is>
      </c>
      <c r="C85" s="112" t="inlineStr">
        <is>
          <t>058470</t>
        </is>
      </c>
      <c r="D85" s="113">
        <f>원자료!I81</f>
        <v/>
      </c>
      <c r="E85" s="113">
        <f>D85*원자료!J81/100000000</f>
        <v/>
      </c>
      <c r="F85" s="114">
        <f>IF(원자료!T81="","미확인",원자료!T81)</f>
        <v/>
      </c>
      <c r="G85" s="113">
        <f>IF(원자료!D81="","미확인",원자료!D81)</f>
        <v/>
      </c>
      <c r="H85" s="115">
        <f>IF(AND(ISNUMBER(F85),ISNUMBER(G85)),IF(F85=0,IF(G85&gt;0,"흑자전환",IF(G85=0,"손익분기","미확인")),IF(F85&lt;0,IF(G85&gt;0,"흑자전환",IF(G85=0,"손익분기","적자지속")),IF(G85&lt;0,"적자전환",IF(G85=0,-1,G85/F85-1)))),"미확인")</f>
        <v/>
      </c>
      <c r="I85" s="114">
        <f>IF(원자료!U81="","미확인",원자료!U81)</f>
        <v/>
      </c>
      <c r="J85" s="113">
        <f>IF(원자료!E81="","미확인",원자료!E81)</f>
        <v/>
      </c>
      <c r="K85" s="115">
        <f>IF(AND(ISNUMBER(I85),ISNUMBER(J85)),IF(I85=0,IF(J85&gt;0,"흑자전환",IF(J85=0,"손익분기","미확인")),IF(I85&lt;0,IF(J85&gt;0,"흑자전환",IF(J85=0,"손익분기","적자지속")),IF(J85&lt;0,"적자전환",IF(J85=0,-1,J85/I85-1)))),"미확인")</f>
        <v/>
      </c>
      <c r="L85" s="116">
        <f>IF(ISNUMBER(G85),IF(G85&gt;0,E85/G85,"적자"),"미산출")</f>
        <v/>
      </c>
      <c r="M85" s="117">
        <f>IF(ISNUMBER(J85),IF(J85&gt;0,E85/J85,"적자"),"미산출")</f>
        <v/>
      </c>
      <c r="N85" s="118">
        <f>IF(원자료!O81="","미확인",원자료!O81)</f>
        <v/>
      </c>
      <c r="O85" s="117" t="n">
        <v>26.9</v>
      </c>
      <c r="P85" s="117" t="n">
        <v>22.9</v>
      </c>
      <c r="Q85" s="19" t="inlineStr">
        <is>
          <t>기존 / 원표 기준</t>
        </is>
      </c>
      <c r="R85" s="1" t="n"/>
      <c r="S85" s="1" t="n"/>
    </row>
    <row r="86" ht="21.95" customHeight="1">
      <c r="A86" s="18" t="n">
        <v>72</v>
      </c>
      <c r="B86" s="24" t="inlineStr">
        <is>
          <t>칩스앤미디어</t>
        </is>
      </c>
      <c r="C86" s="91" t="inlineStr">
        <is>
          <t>094360</t>
        </is>
      </c>
      <c r="D86" s="92">
        <f>원자료!I77</f>
        <v/>
      </c>
      <c r="E86" s="92">
        <f>D86*원자료!J77/100000000</f>
        <v/>
      </c>
      <c r="F86" s="93">
        <f>IF(원자료!T77="","미확인",원자료!T77)</f>
        <v/>
      </c>
      <c r="G86" s="92">
        <f>IF(원자료!D77="","미확인",원자료!D77)</f>
        <v/>
      </c>
      <c r="H86" s="94">
        <f>IF(AND(ISNUMBER(F86),ISNUMBER(G86)),IF(F86=0,IF(G86&gt;0,"흑자전환",IF(G86=0,"손익분기","미확인")),IF(F86&lt;0,IF(G86&gt;0,"흑자전환",IF(G86=0,"손익분기","적자지속")),IF(G86&lt;0,"적자전환",IF(G86=0,-1,G86/F86-1)))),"미확인")</f>
        <v/>
      </c>
      <c r="I86" s="93">
        <f>IF(원자료!U77="","미확인",원자료!U77)</f>
        <v/>
      </c>
      <c r="J86" s="92">
        <f>IF(원자료!E77="","미확인",원자료!E77)</f>
        <v/>
      </c>
      <c r="K86" s="94">
        <f>IF(AND(ISNUMBER(I86),ISNUMBER(J86)),IF(I86=0,IF(J86&gt;0,"흑자전환",IF(J86=0,"손익분기","미확인")),IF(I86&lt;0,IF(J86&gt;0,"흑자전환",IF(J86=0,"손익분기","적자지속")),IF(J86&lt;0,"적자전환",IF(J86=0,-1,J86/I86-1)))),"미확인")</f>
        <v/>
      </c>
      <c r="L86" s="95">
        <f>IF(ISNUMBER(G86),IF(G86&gt;0,E86/G86,"적자"),"미산출")</f>
        <v/>
      </c>
      <c r="M86" s="96">
        <f>IF(ISNUMBER(J86),IF(J86&gt;0,E86/J86,"적자"),"미산출")</f>
        <v/>
      </c>
      <c r="N86" s="97">
        <f>IF(원자료!O77="","미확인",원자료!O77)</f>
        <v/>
      </c>
      <c r="O86" s="96" t="n">
        <v>23.3</v>
      </c>
      <c r="P86" s="96" t="n">
        <v>27.7</v>
      </c>
      <c r="Q86" s="24" t="inlineStr">
        <is>
          <t>기존 / 원표 기준</t>
        </is>
      </c>
      <c r="R86" s="1" t="n"/>
      <c r="S86" s="1" t="n"/>
    </row>
    <row r="87" ht="21.95" customHeight="1">
      <c r="A87" s="18" t="n">
        <v>10</v>
      </c>
      <c r="B87" s="24" t="inlineStr">
        <is>
          <t>지앤비에스 에코</t>
        </is>
      </c>
      <c r="C87" s="91" t="inlineStr">
        <is>
          <t>382800</t>
        </is>
      </c>
      <c r="D87" s="92">
        <f>원자료!I18</f>
        <v/>
      </c>
      <c r="E87" s="92">
        <f>D87*원자료!J18/100000000</f>
        <v/>
      </c>
      <c r="F87" s="93">
        <f>IF(원자료!T18="","미확인",원자료!T18)</f>
        <v/>
      </c>
      <c r="G87" s="92">
        <f>IF(원자료!D18="","미확인",원자료!D18)</f>
        <v/>
      </c>
      <c r="H87" s="94">
        <f>IF(AND(ISNUMBER(F87),ISNUMBER(G87)),IF(F87=0,IF(G87&gt;0,"흑자전환",IF(G87=0,"손익분기","미확인")),IF(F87&lt;0,IF(G87&gt;0,"흑자전환",IF(G87=0,"손익분기","적자지속")),IF(G87&lt;0,"적자전환",IF(G87=0,-1,G87/F87-1)))),"미확인")</f>
        <v/>
      </c>
      <c r="I87" s="93">
        <f>IF(원자료!U18="","미확인",원자료!U18)</f>
        <v/>
      </c>
      <c r="J87" s="92">
        <f>IF(원자료!E18="","미확인",원자료!E18)</f>
        <v/>
      </c>
      <c r="K87" s="94">
        <f>IF(AND(ISNUMBER(I87),ISNUMBER(J87)),IF(I87=0,IF(J87&gt;0,"흑자전환",IF(J87=0,"손익분기","미확인")),IF(I87&lt;0,IF(J87&gt;0,"흑자전환",IF(J87=0,"손익분기","적자지속")),IF(J87&lt;0,"적자전환",IF(J87=0,-1,J87/I87-1)))),"미확인")</f>
        <v/>
      </c>
      <c r="L87" s="95">
        <f>IF(ISNUMBER(G87),IF(G87&gt;0,E87/G87,"적자"),"미산출")</f>
        <v/>
      </c>
      <c r="M87" s="96">
        <f>IF(ISNUMBER(J87),IF(J87&gt;0,E87/J87,"적자"),"미산출")</f>
        <v/>
      </c>
      <c r="N87" s="97">
        <f>IF(원자료!O18="","미확인",원자료!O18)</f>
        <v/>
      </c>
      <c r="O87" s="96" t="n">
        <v>7.4</v>
      </c>
      <c r="P87" s="96" t="n">
        <v>6.4</v>
      </c>
      <c r="Q87" s="24" t="inlineStr">
        <is>
          <t>기존 / 원표 기준</t>
        </is>
      </c>
      <c r="R87" s="1" t="n"/>
      <c r="S87" s="1" t="n"/>
    </row>
    <row r="88" ht="21.95" customHeight="1">
      <c r="A88" s="18" t="n">
        <v>29</v>
      </c>
      <c r="B88" s="19" t="inlineStr">
        <is>
          <t>뉴파워프라즈마</t>
        </is>
      </c>
      <c r="C88" s="112" t="inlineStr">
        <is>
          <t>144960</t>
        </is>
      </c>
      <c r="D88" s="113">
        <f>원자료!I36</f>
        <v/>
      </c>
      <c r="E88" s="113">
        <f>D88*원자료!J36/100000000</f>
        <v/>
      </c>
      <c r="F88" s="114">
        <f>IF(원자료!T36="","미확인",원자료!T36)</f>
        <v/>
      </c>
      <c r="G88" s="113">
        <f>IF(원자료!D36="","미확인",원자료!D36)</f>
        <v/>
      </c>
      <c r="H88" s="115">
        <f>IF(AND(ISNUMBER(F88),ISNUMBER(G88)),IF(F88=0,IF(G88&gt;0,"흑자전환",IF(G88=0,"손익분기","미확인")),IF(F88&lt;0,IF(G88&gt;0,"흑자전환",IF(G88=0,"손익분기","적자지속")),IF(G88&lt;0,"적자전환",IF(G88=0,-1,G88/F88-1)))),"미확인")</f>
        <v/>
      </c>
      <c r="I88" s="114">
        <f>IF(원자료!U36="","미확인",원자료!U36)</f>
        <v/>
      </c>
      <c r="J88" s="113">
        <f>IF(원자료!E36="","미확인",원자료!E36)</f>
        <v/>
      </c>
      <c r="K88" s="115">
        <f>IF(AND(ISNUMBER(I88),ISNUMBER(J88)),IF(I88=0,IF(J88&gt;0,"흑자전환",IF(J88=0,"손익분기","미확인")),IF(I88&lt;0,IF(J88&gt;0,"흑자전환",IF(J88=0,"손익분기","적자지속")),IF(J88&lt;0,"적자전환",IF(J88=0,-1,J88/I88-1)))),"미확인")</f>
        <v/>
      </c>
      <c r="L88" s="116">
        <f>IF(ISNUMBER(G88),IF(G88&gt;0,E88/G88,"적자"),"미산출")</f>
        <v/>
      </c>
      <c r="M88" s="117">
        <f>IF(ISNUMBER(J88),IF(J88&gt;0,E88/J88,"적자"),"미산출")</f>
        <v/>
      </c>
      <c r="N88" s="118">
        <f>IF(원자료!O36="","미확인",원자료!O36)</f>
        <v/>
      </c>
      <c r="O88" s="117" t="n">
        <v>12.2</v>
      </c>
      <c r="P88" s="117" t="n">
        <v>7.3</v>
      </c>
      <c r="Q88" s="19" t="inlineStr">
        <is>
          <t>기존 / †</t>
        </is>
      </c>
      <c r="R88" s="1" t="n"/>
      <c r="S88" s="1" t="n"/>
    </row>
    <row r="89" ht="21.95" customHeight="1">
      <c r="A89" s="18" t="n">
        <v>5</v>
      </c>
      <c r="B89" s="19" t="inlineStr">
        <is>
          <t>케이씨</t>
        </is>
      </c>
      <c r="C89" s="112" t="inlineStr">
        <is>
          <t>029460</t>
        </is>
      </c>
      <c r="D89" s="113">
        <f>원자료!I14</f>
        <v/>
      </c>
      <c r="E89" s="113">
        <f>D89*원자료!J14/100000000</f>
        <v/>
      </c>
      <c r="F89" s="114">
        <f>IF(원자료!T14="","미확인",원자료!T14)</f>
        <v/>
      </c>
      <c r="G89" s="113">
        <f>IF(원자료!D14="","미확인",원자료!D14)</f>
        <v/>
      </c>
      <c r="H89" s="115">
        <f>IF(AND(ISNUMBER(F89),ISNUMBER(G89)),IF(F89=0,IF(G89&gt;0,"흑자전환",IF(G89=0,"손익분기","미확인")),IF(F89&lt;0,IF(G89&gt;0,"흑자전환",IF(G89=0,"손익분기","적자지속")),IF(G89&lt;0,"적자전환",IF(G89=0,-1,G89/F89-1)))),"미확인")</f>
        <v/>
      </c>
      <c r="I89" s="114">
        <f>IF(원자료!U14="","미확인",원자료!U14)</f>
        <v/>
      </c>
      <c r="J89" s="113">
        <f>IF(원자료!E14="","미확인",원자료!E14)</f>
        <v/>
      </c>
      <c r="K89" s="115">
        <f>IF(AND(ISNUMBER(I89),ISNUMBER(J89)),IF(I89=0,IF(J89&gt;0,"흑자전환",IF(J89=0,"손익분기","미확인")),IF(I89&lt;0,IF(J89&gt;0,"흑자전환",IF(J89=0,"손익분기","적자지속")),IF(J89&lt;0,"적자전환",IF(J89=0,-1,J89/I89-1)))),"미확인")</f>
        <v/>
      </c>
      <c r="L89" s="116">
        <f>IF(ISNUMBER(G89),IF(G89&gt;0,E89/G89,"적자"),"미산출")</f>
        <v/>
      </c>
      <c r="M89" s="117">
        <f>IF(ISNUMBER(J89),IF(J89&gt;0,E89/J89,"적자"),"미산출")</f>
        <v/>
      </c>
      <c r="N89" s="118">
        <f>IF(원자료!O14="","미확인",원자료!O14)</f>
        <v/>
      </c>
      <c r="O89" s="117" t="n">
        <v>6</v>
      </c>
      <c r="P89" s="117" t="n">
        <v>5.1</v>
      </c>
      <c r="Q89" s="19" t="inlineStr">
        <is>
          <t>기존 / 원표 기준</t>
        </is>
      </c>
      <c r="R89" s="1" t="n"/>
      <c r="S89" s="1" t="n"/>
    </row>
    <row r="90" ht="21.95" customHeight="1">
      <c r="A90" s="18" t="n">
        <v>18</v>
      </c>
      <c r="B90" s="24" t="inlineStr">
        <is>
          <t>신성이엔지</t>
        </is>
      </c>
      <c r="C90" s="91" t="inlineStr">
        <is>
          <t>011930</t>
        </is>
      </c>
      <c r="D90" s="92">
        <f>원자료!I26</f>
        <v/>
      </c>
      <c r="E90" s="92">
        <f>D90*원자료!J26/100000000</f>
        <v/>
      </c>
      <c r="F90" s="93">
        <f>IF(원자료!T26="","미확인",원자료!T26)</f>
        <v/>
      </c>
      <c r="G90" s="92">
        <f>IF(원자료!D26="","미확인",원자료!D26)</f>
        <v/>
      </c>
      <c r="H90" s="94">
        <f>IF(AND(ISNUMBER(F90),ISNUMBER(G90)),IF(F90=0,IF(G90&gt;0,"흑자전환",IF(G90=0,"손익분기","미확인")),IF(F90&lt;0,IF(G90&gt;0,"흑자전환",IF(G90=0,"손익분기","적자지속")),IF(G90&lt;0,"적자전환",IF(G90=0,-1,G90/F90-1)))),"미확인")</f>
        <v/>
      </c>
      <c r="I90" s="93">
        <f>IF(원자료!U26="","미확인",원자료!U26)</f>
        <v/>
      </c>
      <c r="J90" s="92">
        <f>IF(원자료!E26="","미확인",원자료!E26)</f>
        <v/>
      </c>
      <c r="K90" s="94">
        <f>IF(AND(ISNUMBER(I90),ISNUMBER(J90)),IF(I90=0,IF(J90&gt;0,"흑자전환",IF(J90=0,"손익분기","미확인")),IF(I90&lt;0,IF(J90&gt;0,"흑자전환",IF(J90=0,"손익분기","적자지속")),IF(J90&lt;0,"적자전환",IF(J90=0,-1,J90/I90-1)))),"미확인")</f>
        <v/>
      </c>
      <c r="L90" s="95">
        <f>IF(ISNUMBER(G90),IF(G90&gt;0,E90/G90,"적자"),"미산출")</f>
        <v/>
      </c>
      <c r="M90" s="96">
        <f>IF(ISNUMBER(J90),IF(J90&gt;0,E90/J90,"적자"),"미산출")</f>
        <v/>
      </c>
      <c r="N90" s="97">
        <f>IF(원자료!O26="","미확인",원자료!O26)</f>
        <v/>
      </c>
      <c r="O90" s="96" t="n">
        <v>8.9</v>
      </c>
      <c r="P90" s="96" t="n">
        <v>13.7</v>
      </c>
      <c r="Q90" s="24" t="inlineStr">
        <is>
          <t>기존 / †</t>
        </is>
      </c>
      <c r="R90" s="1" t="n"/>
      <c r="S90" s="1" t="n"/>
    </row>
    <row r="91" ht="21.95" customHeight="1">
      <c r="A91" s="18" t="n">
        <v>84</v>
      </c>
      <c r="B91" s="24" t="inlineStr">
        <is>
          <t>고영</t>
        </is>
      </c>
      <c r="C91" s="91" t="inlineStr">
        <is>
          <t>098460</t>
        </is>
      </c>
      <c r="D91" s="92">
        <f>원자료!I90</f>
        <v/>
      </c>
      <c r="E91" s="92">
        <f>D91*원자료!J90/100000000</f>
        <v/>
      </c>
      <c r="F91" s="93">
        <f>IF(원자료!T90="","미확인",원자료!T90)</f>
        <v/>
      </c>
      <c r="G91" s="92">
        <f>IF(원자료!D90="","미확인",원자료!D90)</f>
        <v/>
      </c>
      <c r="H91" s="94">
        <f>IF(AND(ISNUMBER(F91),ISNUMBER(G91)),IF(F91=0,IF(G91&gt;0,"흑자전환",IF(G91=0,"손익분기","미확인")),IF(F91&lt;0,IF(G91&gt;0,"흑자전환",IF(G91=0,"손익분기","적자지속")),IF(G91&lt;0,"적자전환",IF(G91=0,-1,G91/F91-1)))),"미확인")</f>
        <v/>
      </c>
      <c r="I91" s="93">
        <f>IF(원자료!U90="","미확인",원자료!U90)</f>
        <v/>
      </c>
      <c r="J91" s="92">
        <f>IF(원자료!E90="","미확인",원자료!E90)</f>
        <v/>
      </c>
      <c r="K91" s="94">
        <f>IF(AND(ISNUMBER(I91),ISNUMBER(J91)),IF(I91=0,IF(J91&gt;0,"흑자전환",IF(J91=0,"손익분기","미확인")),IF(I91&lt;0,IF(J91&gt;0,"흑자전환",IF(J91=0,"손익분기","적자지속")),IF(J91&lt;0,"적자전환",IF(J91=0,-1,J91/I91-1)))),"미확인")</f>
        <v/>
      </c>
      <c r="L91" s="95">
        <f>IF(ISNUMBER(G91),IF(G91&gt;0,E91/G91,"적자"),"미산출")</f>
        <v/>
      </c>
      <c r="M91" s="96">
        <f>IF(ISNUMBER(J91),IF(J91&gt;0,E91/J91,"적자"),"미산출")</f>
        <v/>
      </c>
      <c r="N91" s="97">
        <f>IF(원자료!O90="","미확인",원자료!O90)</f>
        <v/>
      </c>
      <c r="O91" s="96" t="n">
        <v>37.2</v>
      </c>
      <c r="P91" s="96" t="n">
        <v>34</v>
      </c>
      <c r="Q91" s="24" t="inlineStr">
        <is>
          <t>기존 / 원표 기준</t>
        </is>
      </c>
      <c r="R91" s="1" t="n"/>
      <c r="S91" s="1" t="n"/>
    </row>
    <row r="92" ht="21.95" customHeight="1">
      <c r="A92" s="18" t="n">
        <v>30</v>
      </c>
      <c r="B92" s="24" t="inlineStr">
        <is>
          <t>하나마이크론</t>
        </is>
      </c>
      <c r="C92" s="91" t="inlineStr">
        <is>
          <t>067310</t>
        </is>
      </c>
      <c r="D92" s="92">
        <f>원자료!I38</f>
        <v/>
      </c>
      <c r="E92" s="92">
        <f>D92*원자료!J38/100000000</f>
        <v/>
      </c>
      <c r="F92" s="93">
        <f>IF(원자료!T38="","미확인",원자료!T38)</f>
        <v/>
      </c>
      <c r="G92" s="92">
        <f>IF(원자료!D38="","미확인",원자료!D38)</f>
        <v/>
      </c>
      <c r="H92" s="94">
        <f>IF(AND(ISNUMBER(F92),ISNUMBER(G92)),IF(F92=0,IF(G92&gt;0,"흑자전환",IF(G92=0,"손익분기","미확인")),IF(F92&lt;0,IF(G92&gt;0,"흑자전환",IF(G92=0,"손익분기","적자지속")),IF(G92&lt;0,"적자전환",IF(G92=0,-1,G92/F92-1)))),"미확인")</f>
        <v/>
      </c>
      <c r="I92" s="93">
        <f>IF(원자료!U38="","미확인",원자료!U38)</f>
        <v/>
      </c>
      <c r="J92" s="92">
        <f>IF(원자료!E38="","미확인",원자료!E38)</f>
        <v/>
      </c>
      <c r="K92" s="94">
        <f>IF(AND(ISNUMBER(I92),ISNUMBER(J92)),IF(I92=0,IF(J92&gt;0,"흑자전환",IF(J92=0,"손익분기","미확인")),IF(I92&lt;0,IF(J92&gt;0,"흑자전환",IF(J92=0,"손익분기","적자지속")),IF(J92&lt;0,"적자전환",IF(J92=0,-1,J92/I92-1)))),"미확인")</f>
        <v/>
      </c>
      <c r="L92" s="95">
        <f>IF(ISNUMBER(G92),IF(G92&gt;0,E92/G92,"적자"),"미산출")</f>
        <v/>
      </c>
      <c r="M92" s="96">
        <f>IF(ISNUMBER(J92),IF(J92&gt;0,E92/J92,"적자"),"미산출")</f>
        <v/>
      </c>
      <c r="N92" s="97">
        <f>IF(원자료!O38="","미확인",원자료!O38)</f>
        <v/>
      </c>
      <c r="O92" s="96" t="n">
        <v>12.5</v>
      </c>
      <c r="P92" s="96" t="n">
        <v>7.5</v>
      </c>
      <c r="Q92" s="24" t="inlineStr">
        <is>
          <t>기존 / †</t>
        </is>
      </c>
      <c r="R92" s="1" t="n"/>
      <c r="S92" s="1" t="n"/>
    </row>
    <row r="93" ht="21.95" customHeight="1">
      <c r="A93" s="18" t="n">
        <v>70</v>
      </c>
      <c r="B93" s="24" t="inlineStr">
        <is>
          <t>원익IPS</t>
        </is>
      </c>
      <c r="C93" s="91" t="inlineStr">
        <is>
          <t>240810</t>
        </is>
      </c>
      <c r="D93" s="92">
        <f>원자료!I82</f>
        <v/>
      </c>
      <c r="E93" s="92">
        <f>D93*원자료!J82/100000000</f>
        <v/>
      </c>
      <c r="F93" s="93">
        <f>IF(원자료!T82="","미확인",원자료!T82)</f>
        <v/>
      </c>
      <c r="G93" s="92">
        <f>IF(원자료!D82="","미확인",원자료!D82)</f>
        <v/>
      </c>
      <c r="H93" s="94">
        <f>IF(AND(ISNUMBER(F93),ISNUMBER(G93)),IF(F93=0,IF(G93&gt;0,"흑자전환",IF(G93=0,"손익분기","미확인")),IF(F93&lt;0,IF(G93&gt;0,"흑자전환",IF(G93=0,"손익분기","적자지속")),IF(G93&lt;0,"적자전환",IF(G93=0,-1,G93/F93-1)))),"미확인")</f>
        <v/>
      </c>
      <c r="I93" s="93">
        <f>IF(원자료!U82="","미확인",원자료!U82)</f>
        <v/>
      </c>
      <c r="J93" s="92">
        <f>IF(원자료!E82="","미확인",원자료!E82)</f>
        <v/>
      </c>
      <c r="K93" s="94">
        <f>IF(AND(ISNUMBER(I93),ISNUMBER(J93)),IF(I93=0,IF(J93&gt;0,"흑자전환",IF(J93=0,"손익분기","미확인")),IF(I93&lt;0,IF(J93&gt;0,"흑자전환",IF(J93=0,"손익분기","적자지속")),IF(J93&lt;0,"적자전환",IF(J93=0,-1,J93/I93-1)))),"미확인")</f>
        <v/>
      </c>
      <c r="L93" s="95">
        <f>IF(ISNUMBER(G93),IF(G93&gt;0,E93/G93,"적자"),"미산출")</f>
        <v/>
      </c>
      <c r="M93" s="96">
        <f>IF(ISNUMBER(J93),IF(J93&gt;0,E93/J93,"적자"),"미산출")</f>
        <v/>
      </c>
      <c r="N93" s="97">
        <f>IF(원자료!O82="","미확인",원자료!O82)</f>
        <v/>
      </c>
      <c r="O93" s="96" t="n">
        <v>27</v>
      </c>
      <c r="P93" s="96" t="n">
        <v>23.7</v>
      </c>
      <c r="Q93" s="24" t="inlineStr">
        <is>
          <t>기존 / 원표 기준</t>
        </is>
      </c>
      <c r="R93" s="1" t="n"/>
      <c r="S93" s="1" t="n"/>
    </row>
    <row r="94" ht="21.95" customHeight="1">
      <c r="A94" s="18" t="n">
        <v>4</v>
      </c>
      <c r="B94" s="24" t="inlineStr">
        <is>
          <t>세보엠이씨</t>
        </is>
      </c>
      <c r="C94" s="91" t="inlineStr">
        <is>
          <t>011560</t>
        </is>
      </c>
      <c r="D94" s="92">
        <f>원자료!I13</f>
        <v/>
      </c>
      <c r="E94" s="92">
        <f>D94*원자료!J13/100000000</f>
        <v/>
      </c>
      <c r="F94" s="93">
        <f>IF(원자료!T13="","미확인",원자료!T13)</f>
        <v/>
      </c>
      <c r="G94" s="92">
        <f>IF(원자료!D13="","미확인",원자료!D13)</f>
        <v/>
      </c>
      <c r="H94" s="94">
        <f>IF(AND(ISNUMBER(F94),ISNUMBER(G94)),IF(F94=0,IF(G94&gt;0,"흑자전환",IF(G94=0,"손익분기","미확인")),IF(F94&lt;0,IF(G94&gt;0,"흑자전환",IF(G94=0,"손익분기","적자지속")),IF(G94&lt;0,"적자전환",IF(G94=0,-1,G94/F94-1)))),"미확인")</f>
        <v/>
      </c>
      <c r="I94" s="93">
        <f>IF(원자료!U13="","미확인",원자료!U13)</f>
        <v/>
      </c>
      <c r="J94" s="92">
        <f>IF(원자료!E13="","미확인",원자료!E13)</f>
        <v/>
      </c>
      <c r="K94" s="94">
        <f>IF(AND(ISNUMBER(I94),ISNUMBER(J94)),IF(I94=0,IF(J94&gt;0,"흑자전환",IF(J94=0,"손익분기","미확인")),IF(I94&lt;0,IF(J94&gt;0,"흑자전환",IF(J94=0,"손익분기","적자지속")),IF(J94&lt;0,"적자전환",IF(J94=0,-1,J94/I94-1)))),"미확인")</f>
        <v/>
      </c>
      <c r="L94" s="95">
        <f>IF(ISNUMBER(G94),IF(G94&gt;0,E94/G94,"적자"),"미산출")</f>
        <v/>
      </c>
      <c r="M94" s="96">
        <f>IF(ISNUMBER(J94),IF(J94&gt;0,E94/J94,"적자"),"미산출")</f>
        <v/>
      </c>
      <c r="N94" s="97">
        <f>IF(원자료!O13="","미확인",원자료!O13)</f>
        <v/>
      </c>
      <c r="O94" s="96" t="n">
        <v>4.3</v>
      </c>
      <c r="P94" s="96" t="n">
        <v>3.7</v>
      </c>
      <c r="Q94" s="24" t="inlineStr">
        <is>
          <t>기존 / 원표 기준</t>
        </is>
      </c>
      <c r="R94" s="1" t="n"/>
      <c r="S94" s="1" t="n"/>
    </row>
    <row r="95" ht="21.95" customHeight="1">
      <c r="A95" s="18" t="n">
        <v>56</v>
      </c>
      <c r="B95" s="24" t="inlineStr">
        <is>
          <t>디아이</t>
        </is>
      </c>
      <c r="C95" s="91" t="inlineStr">
        <is>
          <t>003160</t>
        </is>
      </c>
      <c r="D95" s="92">
        <f>원자료!I63</f>
        <v/>
      </c>
      <c r="E95" s="92">
        <f>D95*원자료!J63/100000000</f>
        <v/>
      </c>
      <c r="F95" s="93">
        <f>IF(원자료!T63="","미확인",원자료!T63)</f>
        <v/>
      </c>
      <c r="G95" s="92">
        <f>IF(원자료!D63="","미확인",원자료!D63)</f>
        <v/>
      </c>
      <c r="H95" s="94">
        <f>IF(AND(ISNUMBER(F95),ISNUMBER(G95)),IF(F95=0,IF(G95&gt;0,"흑자전환",IF(G95=0,"손익분기","미확인")),IF(F95&lt;0,IF(G95&gt;0,"흑자전환",IF(G95=0,"손익분기","적자지속")),IF(G95&lt;0,"적자전환",IF(G95=0,-1,G95/F95-1)))),"미확인")</f>
        <v/>
      </c>
      <c r="I95" s="93">
        <f>IF(원자료!U63="","미확인",원자료!U63)</f>
        <v/>
      </c>
      <c r="J95" s="92">
        <f>IF(원자료!E63="","미확인",원자료!E63)</f>
        <v/>
      </c>
      <c r="K95" s="94">
        <f>IF(AND(ISNUMBER(I95),ISNUMBER(J95)),IF(I95=0,IF(J95&gt;0,"흑자전환",IF(J95=0,"손익분기","미확인")),IF(I95&lt;0,IF(J95&gt;0,"흑자전환",IF(J95=0,"손익분기","적자지속")),IF(J95&lt;0,"적자전환",IF(J95=0,-1,J95/I95-1)))),"미확인")</f>
        <v/>
      </c>
      <c r="L95" s="95">
        <f>IF(ISNUMBER(G95),IF(G95&gt;0,E95/G95,"적자"),"미산출")</f>
        <v/>
      </c>
      <c r="M95" s="96">
        <f>IF(ISNUMBER(J95),IF(J95&gt;0,E95/J95,"적자"),"미산출")</f>
        <v/>
      </c>
      <c r="N95" s="97">
        <f>IF(원자료!O63="","미확인",원자료!O63)</f>
        <v/>
      </c>
      <c r="O95" s="96" t="n">
        <v>19.2</v>
      </c>
      <c r="P95" s="96" t="n">
        <v>8.300000000000001</v>
      </c>
      <c r="Q95" s="24" t="inlineStr">
        <is>
          <t>기존 / †</t>
        </is>
      </c>
      <c r="R95" s="1" t="n"/>
      <c r="S95" s="1" t="n"/>
    </row>
    <row r="96" ht="21.95" customHeight="1">
      <c r="A96" s="18" t="n">
        <v>23</v>
      </c>
      <c r="B96" s="19" t="inlineStr">
        <is>
          <t>LX세미콘</t>
        </is>
      </c>
      <c r="C96" s="112" t="inlineStr">
        <is>
          <t>108320</t>
        </is>
      </c>
      <c r="D96" s="113">
        <f>원자료!I29</f>
        <v/>
      </c>
      <c r="E96" s="113">
        <f>D96*원자료!J29/100000000</f>
        <v/>
      </c>
      <c r="F96" s="114">
        <f>IF(원자료!T29="","미확인",원자료!T29)</f>
        <v/>
      </c>
      <c r="G96" s="113">
        <f>IF(원자료!D29="","미확인",원자료!D29)</f>
        <v/>
      </c>
      <c r="H96" s="115">
        <f>IF(AND(ISNUMBER(F96),ISNUMBER(G96)),IF(F96=0,IF(G96&gt;0,"흑자전환",IF(G96=0,"손익분기","미확인")),IF(F96&lt;0,IF(G96&gt;0,"흑자전환",IF(G96=0,"손익분기","적자지속")),IF(G96&lt;0,"적자전환",IF(G96=0,-1,G96/F96-1)))),"미확인")</f>
        <v/>
      </c>
      <c r="I96" s="114">
        <f>IF(원자료!U29="","미확인",원자료!U29)</f>
        <v/>
      </c>
      <c r="J96" s="113">
        <f>IF(원자료!E29="","미확인",원자료!E29)</f>
        <v/>
      </c>
      <c r="K96" s="115">
        <f>IF(AND(ISNUMBER(I96),ISNUMBER(J96)),IF(I96=0,IF(J96&gt;0,"흑자전환",IF(J96=0,"손익분기","미확인")),IF(I96&lt;0,IF(J96&gt;0,"흑자전환",IF(J96=0,"손익분기","적자지속")),IF(J96&lt;0,"적자전환",IF(J96=0,-1,J96/I96-1)))),"미확인")</f>
        <v/>
      </c>
      <c r="L96" s="116">
        <f>IF(ISNUMBER(G96),IF(G96&gt;0,E96/G96,"적자"),"미산출")</f>
        <v/>
      </c>
      <c r="M96" s="117">
        <f>IF(ISNUMBER(J96),IF(J96&gt;0,E96/J96,"적자"),"미산출")</f>
        <v/>
      </c>
      <c r="N96" s="118">
        <f>IF(원자료!O29="","미확인",원자료!O29)</f>
        <v/>
      </c>
      <c r="O96" s="117" t="n">
        <v>9.5</v>
      </c>
      <c r="P96" s="117" t="n">
        <v>7.5</v>
      </c>
      <c r="Q96" s="19" t="inlineStr">
        <is>
          <t>기존 / 원표 기준</t>
        </is>
      </c>
      <c r="R96" s="1" t="n"/>
      <c r="S96" s="1" t="n"/>
    </row>
    <row r="97" ht="21.95" customHeight="1">
      <c r="A97" s="18" t="n">
        <v>69</v>
      </c>
      <c r="B97" s="19" t="inlineStr">
        <is>
          <t>유진테크</t>
        </is>
      </c>
      <c r="C97" s="112" t="inlineStr">
        <is>
          <t>084370</t>
        </is>
      </c>
      <c r="D97" s="113">
        <f>원자료!I80</f>
        <v/>
      </c>
      <c r="E97" s="113">
        <f>D97*원자료!J80/100000000</f>
        <v/>
      </c>
      <c r="F97" s="114">
        <f>IF(원자료!T80="","미확인",원자료!T80)</f>
        <v/>
      </c>
      <c r="G97" s="113">
        <f>IF(원자료!D80="","미확인",원자료!D80)</f>
        <v/>
      </c>
      <c r="H97" s="115">
        <f>IF(AND(ISNUMBER(F97),ISNUMBER(G97)),IF(F97=0,IF(G97&gt;0,"흑자전환",IF(G97=0,"손익분기","미확인")),IF(F97&lt;0,IF(G97&gt;0,"흑자전환",IF(G97=0,"손익분기","적자지속")),IF(G97&lt;0,"적자전환",IF(G97=0,-1,G97/F97-1)))),"미확인")</f>
        <v/>
      </c>
      <c r="I97" s="114">
        <f>IF(원자료!U80="","미확인",원자료!U80)</f>
        <v/>
      </c>
      <c r="J97" s="113">
        <f>IF(원자료!E80="","미확인",원자료!E80)</f>
        <v/>
      </c>
      <c r="K97" s="115">
        <f>IF(AND(ISNUMBER(I97),ISNUMBER(J97)),IF(I97=0,IF(J97&gt;0,"흑자전환",IF(J97=0,"손익분기","미확인")),IF(I97&lt;0,IF(J97&gt;0,"흑자전환",IF(J97=0,"손익분기","적자지속")),IF(J97&lt;0,"적자전환",IF(J97=0,-1,J97/I97-1)))),"미확인")</f>
        <v/>
      </c>
      <c r="L97" s="116">
        <f>IF(ISNUMBER(G97),IF(G97&gt;0,E97/G97,"적자"),"미산출")</f>
        <v/>
      </c>
      <c r="M97" s="117">
        <f>IF(ISNUMBER(J97),IF(J97&gt;0,E97/J97,"적자"),"미산출")</f>
        <v/>
      </c>
      <c r="N97" s="118">
        <f>IF(원자료!O80="","미확인",원자료!O80)</f>
        <v/>
      </c>
      <c r="O97" s="117" t="n">
        <v>26.9</v>
      </c>
      <c r="P97" s="117" t="n">
        <v>22.2</v>
      </c>
      <c r="Q97" s="19" t="inlineStr">
        <is>
          <t>기존 / 원표 기준</t>
        </is>
      </c>
      <c r="R97" s="1" t="n"/>
      <c r="S97" s="1" t="n"/>
    </row>
    <row r="98" ht="21.95" customHeight="1">
      <c r="A98" s="18" t="n">
        <v>21</v>
      </c>
      <c r="B98" s="19" t="inlineStr">
        <is>
          <t>프로텍</t>
        </is>
      </c>
      <c r="C98" s="112" t="inlineStr">
        <is>
          <t>053610</t>
        </is>
      </c>
      <c r="D98" s="113">
        <f>원자료!I31</f>
        <v/>
      </c>
      <c r="E98" s="113">
        <f>D98*원자료!J31/100000000</f>
        <v/>
      </c>
      <c r="F98" s="114">
        <f>IF(원자료!T31="","미확인",원자료!T31)</f>
        <v/>
      </c>
      <c r="G98" s="113">
        <f>IF(원자료!D31="","미확인",원자료!D31)</f>
        <v/>
      </c>
      <c r="H98" s="115">
        <f>IF(AND(ISNUMBER(F98),ISNUMBER(G98)),IF(F98=0,IF(G98&gt;0,"흑자전환",IF(G98=0,"손익분기","미확인")),IF(F98&lt;0,IF(G98&gt;0,"흑자전환",IF(G98=0,"손익분기","적자지속")),IF(G98&lt;0,"적자전환",IF(G98=0,-1,G98/F98-1)))),"미확인")</f>
        <v/>
      </c>
      <c r="I98" s="114">
        <f>IF(원자료!U31="","미확인",원자료!U31)</f>
        <v/>
      </c>
      <c r="J98" s="113">
        <f>IF(원자료!E31="","미확인",원자료!E31)</f>
        <v/>
      </c>
      <c r="K98" s="115">
        <f>IF(AND(ISNUMBER(I98),ISNUMBER(J98)),IF(I98=0,IF(J98&gt;0,"흑자전환",IF(J98=0,"손익분기","미확인")),IF(I98&lt;0,IF(J98&gt;0,"흑자전환",IF(J98=0,"손익분기","적자지속")),IF(J98&lt;0,"적자전환",IF(J98=0,-1,J98/I98-1)))),"미확인")</f>
        <v/>
      </c>
      <c r="L98" s="116">
        <f>IF(ISNUMBER(G98),IF(G98&gt;0,E98/G98,"적자"),"미산출")</f>
        <v/>
      </c>
      <c r="M98" s="117">
        <f>IF(ISNUMBER(J98),IF(J98&gt;0,E98/J98,"적자"),"미산출")</f>
        <v/>
      </c>
      <c r="N98" s="118">
        <f>IF(원자료!O31="","미확인",원자료!O31)</f>
        <v/>
      </c>
      <c r="O98" s="117" t="n">
        <v>10</v>
      </c>
      <c r="P98" s="117" t="n">
        <v>8.800000000000001</v>
      </c>
      <c r="Q98" s="19" t="inlineStr">
        <is>
          <t>기존 / 원표 기준</t>
        </is>
      </c>
      <c r="R98" s="1" t="n"/>
      <c r="S98" s="1" t="n"/>
    </row>
    <row r="99" ht="21.95" customHeight="1" thickBot="1">
      <c r="A99" s="18" t="n">
        <v>77</v>
      </c>
      <c r="B99" s="29" t="inlineStr">
        <is>
          <t>성호전자</t>
        </is>
      </c>
      <c r="C99" s="105" t="inlineStr">
        <is>
          <t>043260</t>
        </is>
      </c>
      <c r="D99" s="106">
        <f>원자료!I95</f>
        <v/>
      </c>
      <c r="E99" s="106">
        <f>D99*원자료!J95/100000000</f>
        <v/>
      </c>
      <c r="F99" s="107">
        <f>IF(원자료!T95="","미확인",원자료!T95)</f>
        <v/>
      </c>
      <c r="G99" s="106">
        <f>IF(원자료!D95="","미확인",원자료!D95)</f>
        <v/>
      </c>
      <c r="H99" s="133">
        <f>IF(AND(ISNUMBER(F99),ISNUMBER(G99)),IF(F99=0,IF(G99&gt;0,"흑자전환",IF(G99=0,"손익분기","미확인")),IF(F99&lt;0,IF(G99&gt;0,"흑자전환",IF(G99=0,"손익분기","적자지속")),IF(G99&lt;0,"적자전환",IF(G99=0,-1,G99/F99-1)))),"미확인")</f>
        <v/>
      </c>
      <c r="I99" s="107">
        <f>IF(원자료!U95="","미확인",원자료!U95)</f>
        <v/>
      </c>
      <c r="J99" s="106">
        <f>IF(원자료!E95="","미확인",원자료!E95)</f>
        <v/>
      </c>
      <c r="K99" s="133">
        <f>IF(AND(ISNUMBER(I99),ISNUMBER(J99)),IF(I99=0,IF(J99&gt;0,"흑자전환",IF(J99=0,"손익분기","미확인")),IF(I99&lt;0,IF(J99&gt;0,"흑자전환",IF(J99=0,"손익분기","적자지속")),IF(J99&lt;0,"적자전환",IF(J99=0,-1,J99/I99-1)))),"미확인")</f>
        <v/>
      </c>
      <c r="L99" s="134">
        <f>IF(ISNUMBER(G99),IF(G99&gt;0,E99/G99,"적자"),"미산출")</f>
        <v/>
      </c>
      <c r="M99" s="135">
        <f>IF(ISNUMBER(J99),IF(J99&gt;0,E99/J99,"적자"),"미산출")</f>
        <v/>
      </c>
      <c r="N99" s="136">
        <f>IF(원자료!O95="","미확인",원자료!O95)</f>
        <v/>
      </c>
      <c r="O99" s="110" t="n"/>
      <c r="P99" s="110" t="n"/>
      <c r="Q99" s="29" t="inlineStr">
        <is>
          <t>추가 / 지배순이익</t>
        </is>
      </c>
      <c r="R99" s="1" t="n"/>
      <c r="S99" s="1" t="n"/>
    </row>
    <row r="100" ht="21.95" customHeight="1">
      <c r="A100" s="18" t="inlineStr">
        <is>
          <t>미산출</t>
        </is>
      </c>
      <c r="B100" s="29" t="inlineStr">
        <is>
          <t>한양디지텍</t>
        </is>
      </c>
      <c r="C100" s="105" t="inlineStr">
        <is>
          <t>078350</t>
        </is>
      </c>
      <c r="D100" s="106">
        <f>IF(ISNUMBER(원자료!I100),원자료!I100,"미확인")</f>
        <v/>
      </c>
      <c r="E100" s="106">
        <f>IF(AND(ISNUMBER(D100),ISNUMBER(원자료!J100)),D100*원자료!J100/100000000,"미산출")</f>
        <v/>
      </c>
      <c r="F100" s="107">
        <f>IF(ISNUMBER(원자료!T100),원자료!T100,"미확인")</f>
        <v/>
      </c>
      <c r="G100" s="106">
        <f>IF(ISNUMBER(원자료!D100),원자료!D100,"미확인")</f>
        <v/>
      </c>
      <c r="H100" s="133">
        <f>IF(AND(ISNUMBER(F100),ISNUMBER(G100)),IF(F100=0,IF(G100&gt;0,"흑자전환",IF(G100=0,"손익분기","미확인")),IF(F100&lt;0,IF(G100&gt;0,"흑자전환",IF(G100=0,"손익분기","적자지속")),IF(G100&lt;0,"적자전환",IF(G100=0,-1,G100/F100-1)))),"미확인")</f>
        <v/>
      </c>
      <c r="I100" s="107">
        <f>IF(ISNUMBER(원자료!U100),원자료!U100,"미확인")</f>
        <v/>
      </c>
      <c r="J100" s="106">
        <f>IF(ISNUMBER(원자료!E100),원자료!E100,"미확인")</f>
        <v/>
      </c>
      <c r="K100" s="133">
        <f>IF(AND(ISNUMBER(I100),ISNUMBER(J100)),IF(I100=0,IF(J100&gt;0,"흑자전환",IF(J100=0,"손익분기","미확인")),IF(I100&lt;0,IF(J100&gt;0,"흑자전환",IF(J100=0,"손익분기","적자지속")),IF(J100&lt;0,"적자전환",IF(J100=0,-1,J100/I100-1)))),"미확인")</f>
        <v/>
      </c>
      <c r="L100" s="134">
        <f>IF(AND(ISNUMBER(E100),ISNUMBER(G100),G100&gt;0),E100/G100,"미산출")</f>
        <v/>
      </c>
      <c r="M100" s="135">
        <f>IF(AND(ISNUMBER(E100),ISNUMBER(J100),J100&gt;0),E100/J100,"미산출")</f>
        <v/>
      </c>
      <c r="N100" s="136">
        <f>IF(ISNUMBER(원자료!O100),원자료!O100,"미확인")</f>
        <v/>
      </c>
      <c r="O100" s="110" t="n"/>
      <c r="P100" s="110" t="n"/>
      <c r="Q100" s="29" t="inlineStr">
        <is>
          <t>추가 / 추정치 미제공</t>
        </is>
      </c>
      <c r="R100" s="1" t="n"/>
      <c r="S100" s="1" t="n"/>
      <c r="T100" s="1" t="n"/>
      <c r="U100" s="1" t="n"/>
      <c r="V100" s="1" t="n"/>
    </row>
    <row r="101" ht="21.95" customHeight="1">
      <c r="A101" s="18" t="inlineStr">
        <is>
          <t>미산출</t>
        </is>
      </c>
      <c r="B101" s="29" t="inlineStr">
        <is>
          <t>RFHIC</t>
        </is>
      </c>
      <c r="C101" s="105" t="inlineStr">
        <is>
          <t>218410</t>
        </is>
      </c>
      <c r="D101" s="106">
        <f>IF(ISNUMBER(원자료!I101),원자료!I101,"미확인")</f>
        <v/>
      </c>
      <c r="E101" s="106">
        <f>IF(AND(ISNUMBER(D101),ISNUMBER(원자료!J101)),D101*원자료!J101/100000000,"미산출")</f>
        <v/>
      </c>
      <c r="F101" s="107">
        <f>IF(ISNUMBER(원자료!T101),원자료!T101,"미확인")</f>
        <v/>
      </c>
      <c r="G101" s="106">
        <f>IF(ISNUMBER(원자료!D101),원자료!D101,"미확인")</f>
        <v/>
      </c>
      <c r="H101" s="133">
        <f>IF(AND(ISNUMBER(F101),ISNUMBER(G101)),IF(F101=0,IF(G101&gt;0,"흑자전환",IF(G101=0,"손익분기","미확인")),IF(F101&lt;0,IF(G101&gt;0,"흑자전환",IF(G101=0,"손익분기","적자지속")),IF(G101&lt;0,"적자전환",IF(G101=0,-1,G101/F101-1)))),"미확인")</f>
        <v/>
      </c>
      <c r="I101" s="107">
        <f>IF(ISNUMBER(원자료!U101),원자료!U101,"미확인")</f>
        <v/>
      </c>
      <c r="J101" s="106">
        <f>IF(ISNUMBER(원자료!E101),원자료!E101,"미확인")</f>
        <v/>
      </c>
      <c r="K101" s="133">
        <f>IF(AND(ISNUMBER(I101),ISNUMBER(J101)),IF(I101=0,IF(J101&gt;0,"흑자전환",IF(J101=0,"손익분기","미확인")),IF(I101&lt;0,IF(J101&gt;0,"흑자전환",IF(J101=0,"손익분기","적자지속")),IF(J101&lt;0,"적자전환",IF(J101=0,-1,J101/I101-1)))),"미확인")</f>
        <v/>
      </c>
      <c r="L101" s="134">
        <f>IF(AND(ISNUMBER(E101),ISNUMBER(G101),G101&gt;0),E101/G101,"미산출")</f>
        <v/>
      </c>
      <c r="M101" s="135">
        <f>IF(AND(ISNUMBER(E101),ISNUMBER(J101),J101&gt;0),E101/J101,"미산출")</f>
        <v/>
      </c>
      <c r="N101" s="136">
        <f>IF(ISNUMBER(원자료!O101),원자료!O101,"미확인")</f>
        <v/>
      </c>
      <c r="O101" s="110" t="n"/>
      <c r="P101" s="110" t="n"/>
      <c r="Q101" s="29" t="inlineStr">
        <is>
          <t>추가 / 추정치 미제공</t>
        </is>
      </c>
      <c r="R101" s="1" t="n"/>
      <c r="S101" s="1" t="n"/>
      <c r="T101" s="1" t="n"/>
      <c r="U101" s="1" t="n"/>
      <c r="V101" s="1" t="n"/>
    </row>
    <row r="102" ht="21.95" customHeight="1">
      <c r="A102" s="18" t="inlineStr">
        <is>
          <t>미산출</t>
        </is>
      </c>
      <c r="B102" s="29" t="inlineStr">
        <is>
          <t>오로스테크놀로지</t>
        </is>
      </c>
      <c r="C102" s="105" t="inlineStr">
        <is>
          <t>322310</t>
        </is>
      </c>
      <c r="D102" s="106">
        <f>IF(ISNUMBER(원자료!I102),원자료!I102,"미확인")</f>
        <v/>
      </c>
      <c r="E102" s="106">
        <f>IF(AND(ISNUMBER(D102),ISNUMBER(원자료!J102)),D102*원자료!J102/100000000,"미산출")</f>
        <v/>
      </c>
      <c r="F102" s="107">
        <f>IF(ISNUMBER(원자료!T102),원자료!T102,"미확인")</f>
        <v/>
      </c>
      <c r="G102" s="106">
        <f>IF(ISNUMBER(원자료!D102),원자료!D102,"미확인")</f>
        <v/>
      </c>
      <c r="H102" s="133">
        <f>IF(AND(ISNUMBER(F102),ISNUMBER(G102)),IF(F102=0,IF(G102&gt;0,"흑자전환",IF(G102=0,"손익분기","미확인")),IF(F102&lt;0,IF(G102&gt;0,"흑자전환",IF(G102=0,"손익분기","적자지속")),IF(G102&lt;0,"적자전환",IF(G102=0,-1,G102/F102-1)))),"미확인")</f>
        <v/>
      </c>
      <c r="I102" s="107">
        <f>IF(ISNUMBER(원자료!U102),원자료!U102,"미확인")</f>
        <v/>
      </c>
      <c r="J102" s="106">
        <f>IF(ISNUMBER(원자료!E102),원자료!E102,"미확인")</f>
        <v/>
      </c>
      <c r="K102" s="133">
        <f>IF(AND(ISNUMBER(I102),ISNUMBER(J102)),IF(I102=0,IF(J102&gt;0,"흑자전환",IF(J102=0,"손익분기","미확인")),IF(I102&lt;0,IF(J102&gt;0,"흑자전환",IF(J102=0,"손익분기","적자지속")),IF(J102&lt;0,"적자전환",IF(J102=0,-1,J102/I102-1)))),"미확인")</f>
        <v/>
      </c>
      <c r="L102" s="134">
        <f>IF(AND(ISNUMBER(E102),ISNUMBER(G102),G102&gt;0),E102/G102,"미산출")</f>
        <v/>
      </c>
      <c r="M102" s="135">
        <f>IF(AND(ISNUMBER(E102),ISNUMBER(J102),J102&gt;0),E102/J102,"미산출")</f>
        <v/>
      </c>
      <c r="N102" s="136">
        <f>IF(ISNUMBER(원자료!O102),원자료!O102,"미확인")</f>
        <v/>
      </c>
      <c r="O102" s="110" t="n"/>
      <c r="P102" s="110" t="n"/>
      <c r="Q102" s="29" t="inlineStr">
        <is>
          <t>추가 / 추정치 미제공</t>
        </is>
      </c>
      <c r="R102" s="1" t="n"/>
      <c r="S102" s="1" t="n"/>
      <c r="T102" s="1" t="n"/>
      <c r="U102" s="1" t="n"/>
      <c r="V102" s="1" t="n"/>
    </row>
    <row r="103" ht="21.95" customHeight="1">
      <c r="A103" s="18" t="inlineStr">
        <is>
          <t>미산출</t>
        </is>
      </c>
      <c r="B103" s="29" t="inlineStr">
        <is>
          <t>다원넥스뷰</t>
        </is>
      </c>
      <c r="C103" s="105" t="inlineStr">
        <is>
          <t>323350</t>
        </is>
      </c>
      <c r="D103" s="106">
        <f>IF(ISNUMBER(원자료!I103),원자료!I103,"미확인")</f>
        <v/>
      </c>
      <c r="E103" s="106">
        <f>IF(AND(ISNUMBER(D103),ISNUMBER(원자료!J103)),D103*원자료!J103/100000000,"미산출")</f>
        <v/>
      </c>
      <c r="F103" s="107">
        <f>IF(ISNUMBER(원자료!T103),원자료!T103,"미확인")</f>
        <v/>
      </c>
      <c r="G103" s="106">
        <f>IF(ISNUMBER(원자료!D103),원자료!D103,"미확인")</f>
        <v/>
      </c>
      <c r="H103" s="133">
        <f>IF(AND(ISNUMBER(F103),ISNUMBER(G103)),IF(F103=0,IF(G103&gt;0,"흑자전환",IF(G103=0,"손익분기","미확인")),IF(F103&lt;0,IF(G103&gt;0,"흑자전환",IF(G103=0,"손익분기","적자지속")),IF(G103&lt;0,"적자전환",IF(G103=0,-1,G103/F103-1)))),"미확인")</f>
        <v/>
      </c>
      <c r="I103" s="107">
        <f>IF(ISNUMBER(원자료!U103),원자료!U103,"미확인")</f>
        <v/>
      </c>
      <c r="J103" s="106">
        <f>IF(ISNUMBER(원자료!E103),원자료!E103,"미확인")</f>
        <v/>
      </c>
      <c r="K103" s="133">
        <f>IF(AND(ISNUMBER(I103),ISNUMBER(J103)),IF(I103=0,IF(J103&gt;0,"흑자전환",IF(J103=0,"손익분기","미확인")),IF(I103&lt;0,IF(J103&gt;0,"흑자전환",IF(J103=0,"손익분기","적자지속")),IF(J103&lt;0,"적자전환",IF(J103=0,-1,J103/I103-1)))),"미확인")</f>
        <v/>
      </c>
      <c r="L103" s="134">
        <f>IF(AND(ISNUMBER(E103),ISNUMBER(G103),G103&gt;0),E103/G103,"미산출")</f>
        <v/>
      </c>
      <c r="M103" s="135">
        <f>IF(AND(ISNUMBER(E103),ISNUMBER(J103),J103&gt;0),E103/J103,"미산출")</f>
        <v/>
      </c>
      <c r="N103" s="136">
        <f>IF(ISNUMBER(원자료!O103),원자료!O103,"미확인")</f>
        <v/>
      </c>
      <c r="O103" s="110" t="n"/>
      <c r="P103" s="110" t="n"/>
      <c r="Q103" s="29" t="inlineStr">
        <is>
          <t>추가 / 추정치 미제공</t>
        </is>
      </c>
      <c r="R103" s="1" t="n"/>
      <c r="S103" s="1" t="n"/>
      <c r="T103" s="1" t="n"/>
      <c r="U103" s="1" t="n"/>
      <c r="V103" s="1" t="n"/>
    </row>
    <row r="104" ht="21.95" customHeight="1">
      <c r="A104" s="18" t="inlineStr">
        <is>
          <t>미산출</t>
        </is>
      </c>
      <c r="B104" s="29" t="inlineStr">
        <is>
          <t>드림텍</t>
        </is>
      </c>
      <c r="C104" s="105" t="inlineStr">
        <is>
          <t>192650</t>
        </is>
      </c>
      <c r="D104" s="106">
        <f>IF(ISNUMBER(원자료!I104),원자료!I104,"미확인")</f>
        <v/>
      </c>
      <c r="E104" s="106">
        <f>IF(AND(ISNUMBER(D104),ISNUMBER(원자료!J104)),D104*원자료!J104/100000000,"미산출")</f>
        <v/>
      </c>
      <c r="F104" s="107">
        <f>IF(ISNUMBER(원자료!T104),원자료!T104,"미확인")</f>
        <v/>
      </c>
      <c r="G104" s="106">
        <f>IF(ISNUMBER(원자료!D104),원자료!D104,"미확인")</f>
        <v/>
      </c>
      <c r="H104" s="133">
        <f>IF(AND(ISNUMBER(F104),ISNUMBER(G104)),IF(F104=0,IF(G104&gt;0,"흑자전환",IF(G104=0,"손익분기","미확인")),IF(F104&lt;0,IF(G104&gt;0,"흑자전환",IF(G104=0,"손익분기","적자지속")),IF(G104&lt;0,"적자전환",IF(G104=0,-1,G104/F104-1)))),"미확인")</f>
        <v/>
      </c>
      <c r="I104" s="107">
        <f>IF(ISNUMBER(원자료!U104),원자료!U104,"미확인")</f>
        <v/>
      </c>
      <c r="J104" s="106">
        <f>IF(ISNUMBER(원자료!E104),원자료!E104,"미확인")</f>
        <v/>
      </c>
      <c r="K104" s="133">
        <f>IF(AND(ISNUMBER(I104),ISNUMBER(J104)),IF(I104=0,IF(J104&gt;0,"흑자전환",IF(J104=0,"손익분기","미확인")),IF(I104&lt;0,IF(J104&gt;0,"흑자전환",IF(J104=0,"손익분기","적자지속")),IF(J104&lt;0,"적자전환",IF(J104=0,-1,J104/I104-1)))),"미확인")</f>
        <v/>
      </c>
      <c r="L104" s="134">
        <f>IF(AND(ISNUMBER(E104),ISNUMBER(G104),G104&gt;0),E104/G104,"미산출")</f>
        <v/>
      </c>
      <c r="M104" s="135">
        <f>IF(AND(ISNUMBER(E104),ISNUMBER(J104),J104&gt;0),E104/J104,"미산출")</f>
        <v/>
      </c>
      <c r="N104" s="136">
        <f>IF(ISNUMBER(원자료!O104),원자료!O104,"미확인")</f>
        <v/>
      </c>
      <c r="O104" s="110" t="n"/>
      <c r="P104" s="110" t="n"/>
      <c r="Q104" s="29" t="inlineStr">
        <is>
          <t>추가 / 추정치 미제공</t>
        </is>
      </c>
      <c r="R104" s="1" t="n"/>
      <c r="S104" s="1" t="n"/>
      <c r="T104" s="1" t="n"/>
      <c r="U104" s="1" t="n"/>
      <c r="V104" s="1" t="n"/>
    </row>
    <row r="105" ht="21.95" customHeight="1">
      <c r="A105" s="18" t="inlineStr">
        <is>
          <t>미산출</t>
        </is>
      </c>
      <c r="B105" s="29" t="inlineStr">
        <is>
          <t>에이팩트</t>
        </is>
      </c>
      <c r="C105" s="105" t="inlineStr">
        <is>
          <t>200470</t>
        </is>
      </c>
      <c r="D105" s="106">
        <f>IF(ISNUMBER(원자료!I105),원자료!I105,"미확인")</f>
        <v/>
      </c>
      <c r="E105" s="106">
        <f>IF(AND(ISNUMBER(D105),ISNUMBER(원자료!J105)),D105*원자료!J105/100000000,"미산출")</f>
        <v/>
      </c>
      <c r="F105" s="107">
        <f>IF(ISNUMBER(원자료!T105),원자료!T105,"미확인")</f>
        <v/>
      </c>
      <c r="G105" s="106">
        <f>IF(ISNUMBER(원자료!D105),원자료!D105,"미확인")</f>
        <v/>
      </c>
      <c r="H105" s="133">
        <f>IF(AND(ISNUMBER(F105),ISNUMBER(G105)),IF(F105=0,IF(G105&gt;0,"흑자전환",IF(G105=0,"손익분기","미확인")),IF(F105&lt;0,IF(G105&gt;0,"흑자전환",IF(G105=0,"손익분기","적자지속")),IF(G105&lt;0,"적자전환",IF(G105=0,-1,G105/F105-1)))),"미확인")</f>
        <v/>
      </c>
      <c r="I105" s="107">
        <f>IF(ISNUMBER(원자료!U105),원자료!U105,"미확인")</f>
        <v/>
      </c>
      <c r="J105" s="106">
        <f>IF(ISNUMBER(원자료!E105),원자료!E105,"미확인")</f>
        <v/>
      </c>
      <c r="K105" s="133">
        <f>IF(AND(ISNUMBER(I105),ISNUMBER(J105)),IF(I105=0,IF(J105&gt;0,"흑자전환",IF(J105=0,"손익분기","미확인")),IF(I105&lt;0,IF(J105&gt;0,"흑자전환",IF(J105=0,"손익분기","적자지속")),IF(J105&lt;0,"적자전환",IF(J105=0,-1,J105/I105-1)))),"미확인")</f>
        <v/>
      </c>
      <c r="L105" s="134">
        <f>IF(AND(ISNUMBER(E105),ISNUMBER(G105),G105&gt;0),E105/G105,"미산출")</f>
        <v/>
      </c>
      <c r="M105" s="135">
        <f>IF(AND(ISNUMBER(E105),ISNUMBER(J105),J105&gt;0),E105/J105,"미산출")</f>
        <v/>
      </c>
      <c r="N105" s="136">
        <f>IF(ISNUMBER(원자료!O105),원자료!O105,"미확인")</f>
        <v/>
      </c>
      <c r="O105" s="110" t="n"/>
      <c r="P105" s="110" t="n"/>
      <c r="Q105" s="29" t="inlineStr">
        <is>
          <t>추가 / 추정치 미제공</t>
        </is>
      </c>
      <c r="R105" s="1" t="n"/>
      <c r="S105" s="1" t="n"/>
      <c r="T105" s="1" t="n"/>
      <c r="U105" s="1" t="n"/>
      <c r="V105" s="1" t="n"/>
    </row>
    <row r="106" ht="21.95" customHeight="1">
      <c r="A106" s="18" t="inlineStr">
        <is>
          <t>미산출</t>
        </is>
      </c>
      <c r="B106" s="29" t="inlineStr">
        <is>
          <t>솔브레인홀딩스</t>
        </is>
      </c>
      <c r="C106" s="105" t="inlineStr">
        <is>
          <t>036830</t>
        </is>
      </c>
      <c r="D106" s="106">
        <f>IF(ISNUMBER(원자료!I106),원자료!I106,"미확인")</f>
        <v/>
      </c>
      <c r="E106" s="106">
        <f>IF(AND(ISNUMBER(D106),ISNUMBER(원자료!J106)),D106*원자료!J106/100000000,"미산출")</f>
        <v/>
      </c>
      <c r="F106" s="107">
        <f>IF(ISNUMBER(원자료!T106),원자료!T106,"미확인")</f>
        <v/>
      </c>
      <c r="G106" s="106">
        <f>IF(ISNUMBER(원자료!D106),원자료!D106,"미확인")</f>
        <v/>
      </c>
      <c r="H106" s="133">
        <f>IF(AND(ISNUMBER(F106),ISNUMBER(G106)),IF(F106=0,IF(G106&gt;0,"흑자전환",IF(G106=0,"손익분기","미확인")),IF(F106&lt;0,IF(G106&gt;0,"흑자전환",IF(G106=0,"손익분기","적자지속")),IF(G106&lt;0,"적자전환",IF(G106=0,-1,G106/F106-1)))),"미확인")</f>
        <v/>
      </c>
      <c r="I106" s="107">
        <f>IF(ISNUMBER(원자료!U106),원자료!U106,"미확인")</f>
        <v/>
      </c>
      <c r="J106" s="106">
        <f>IF(ISNUMBER(원자료!E106),원자료!E106,"미확인")</f>
        <v/>
      </c>
      <c r="K106" s="133">
        <f>IF(AND(ISNUMBER(I106),ISNUMBER(J106)),IF(I106=0,IF(J106&gt;0,"흑자전환",IF(J106=0,"손익분기","미확인")),IF(I106&lt;0,IF(J106&gt;0,"흑자전환",IF(J106=0,"손익분기","적자지속")),IF(J106&lt;0,"적자전환",IF(J106=0,-1,J106/I106-1)))),"미확인")</f>
        <v/>
      </c>
      <c r="L106" s="134">
        <f>IF(AND(ISNUMBER(E106),ISNUMBER(G106),G106&gt;0),E106/G106,"미산출")</f>
        <v/>
      </c>
      <c r="M106" s="135">
        <f>IF(AND(ISNUMBER(E106),ISNUMBER(J106),J106&gt;0),E106/J106,"미산출")</f>
        <v/>
      </c>
      <c r="N106" s="136">
        <f>IF(ISNUMBER(원자료!O106),원자료!O106,"미확인")</f>
        <v/>
      </c>
      <c r="O106" s="110" t="n"/>
      <c r="P106" s="110" t="n"/>
      <c r="Q106" s="29" t="inlineStr">
        <is>
          <t>추가 / 추정치 미제공</t>
        </is>
      </c>
    </row>
    <row r="107" ht="21.95" customHeight="1">
      <c r="A107" s="18" t="inlineStr">
        <is>
          <t>미산출</t>
        </is>
      </c>
      <c r="B107" s="29" t="inlineStr">
        <is>
          <t>에스앤에스텍</t>
        </is>
      </c>
      <c r="C107" s="105" t="inlineStr">
        <is>
          <t>101490</t>
        </is>
      </c>
      <c r="D107" s="106">
        <f>IF(ISNUMBER(원자료!I107),원자료!I107,"미확인")</f>
        <v/>
      </c>
      <c r="E107" s="106">
        <f>IF(AND(ISNUMBER(D107),ISNUMBER(원자료!J107)),D107*원자료!J107/100000000,"미산출")</f>
        <v/>
      </c>
      <c r="F107" s="107">
        <f>IF(ISNUMBER(원자료!T107),원자료!T107,"미확인")</f>
        <v/>
      </c>
      <c r="G107" s="106">
        <f>IF(ISNUMBER(원자료!D107),원자료!D107,"미확인")</f>
        <v/>
      </c>
      <c r="H107" s="133">
        <f>IF(AND(ISNUMBER(F107),ISNUMBER(G107)),IF(F107=0,IF(G107&gt;0,"흑자전환",IF(G107=0,"손익분기","미확인")),IF(F107&lt;0,IF(G107&gt;0,"흑자전환",IF(G107=0,"손익분기","적자지속")),IF(G107&lt;0,"적자전환",IF(G107=0,-1,G107/F107-1)))),"미확인")</f>
        <v/>
      </c>
      <c r="I107" s="107">
        <f>IF(ISNUMBER(원자료!U107),원자료!U107,"미확인")</f>
        <v/>
      </c>
      <c r="J107" s="106">
        <f>IF(ISNUMBER(원자료!E107),원자료!E107,"미확인")</f>
        <v/>
      </c>
      <c r="K107" s="133">
        <f>IF(AND(ISNUMBER(I107),ISNUMBER(J107)),IF(I107=0,IF(J107&gt;0,"흑자전환",IF(J107=0,"손익분기","미확인")),IF(I107&lt;0,IF(J107&gt;0,"흑자전환",IF(J107=0,"손익분기","적자지속")),IF(J107&lt;0,"적자전환",IF(J107=0,-1,J107/I107-1)))),"미확인")</f>
        <v/>
      </c>
      <c r="L107" s="134">
        <f>IF(AND(ISNUMBER(E107),ISNUMBER(G107),G107&gt;0),E107/G107,"미산출")</f>
        <v/>
      </c>
      <c r="M107" s="135">
        <f>IF(AND(ISNUMBER(E107),ISNUMBER(J107),J107&gt;0),E107/J107,"미산출")</f>
        <v/>
      </c>
      <c r="N107" s="136">
        <f>IF(ISNUMBER(원자료!O107),원자료!O107,"미확인")</f>
        <v/>
      </c>
      <c r="O107" s="110" t="n"/>
      <c r="P107" s="110" t="n"/>
      <c r="Q107" s="29" t="inlineStr">
        <is>
          <t>추가 / 추정치 미제공</t>
        </is>
      </c>
    </row>
    <row r="108" ht="21.95" customHeight="1">
      <c r="A108" s="18" t="inlineStr">
        <is>
          <t>미산출</t>
        </is>
      </c>
      <c r="B108" s="29" t="inlineStr">
        <is>
          <t>동진쎄미켐</t>
        </is>
      </c>
      <c r="C108" s="105" t="inlineStr">
        <is>
          <t>005290</t>
        </is>
      </c>
      <c r="D108" s="106">
        <f>IF(ISNUMBER(원자료!I108),원자료!I108,"미확인")</f>
        <v/>
      </c>
      <c r="E108" s="106">
        <f>IF(AND(ISNUMBER(D108),ISNUMBER(원자료!J108)),D108*원자료!J108/100000000,"미산출")</f>
        <v/>
      </c>
      <c r="F108" s="107">
        <f>IF(ISNUMBER(원자료!T108),원자료!T108,"미확인")</f>
        <v/>
      </c>
      <c r="G108" s="106">
        <f>IF(ISNUMBER(원자료!D108),원자료!D108,"미확인")</f>
        <v/>
      </c>
      <c r="H108" s="133">
        <f>IF(AND(ISNUMBER(F108),ISNUMBER(G108)),IF(F108=0,IF(G108&gt;0,"흑자전환",IF(G108=0,"손익분기","미확인")),IF(F108&lt;0,IF(G108&gt;0,"흑자전환",IF(G108=0,"손익분기","적자지속")),IF(G108&lt;0,"적자전환",IF(G108=0,-1,G108/F108-1)))),"미확인")</f>
        <v/>
      </c>
      <c r="I108" s="107">
        <f>IF(ISNUMBER(원자료!U108),원자료!U108,"미확인")</f>
        <v/>
      </c>
      <c r="J108" s="106">
        <f>IF(ISNUMBER(원자료!E108),원자료!E108,"미확인")</f>
        <v/>
      </c>
      <c r="K108" s="133">
        <f>IF(AND(ISNUMBER(I108),ISNUMBER(J108)),IF(I108=0,IF(J108&gt;0,"흑자전환",IF(J108=0,"손익분기","미확인")),IF(I108&lt;0,IF(J108&gt;0,"흑자전환",IF(J108=0,"손익분기","적자지속")),IF(J108&lt;0,"적자전환",IF(J108=0,-1,J108/I108-1)))),"미확인")</f>
        <v/>
      </c>
      <c r="L108" s="134">
        <f>IF(AND(ISNUMBER(E108),ISNUMBER(G108),G108&gt;0),E108/G108,"미산출")</f>
        <v/>
      </c>
      <c r="M108" s="135">
        <f>IF(AND(ISNUMBER(E108),ISNUMBER(J108),J108&gt;0),E108/J108,"미산출")</f>
        <v/>
      </c>
      <c r="N108" s="136">
        <f>IF(ISNUMBER(원자료!O108),원자료!O108,"미확인")</f>
        <v/>
      </c>
      <c r="O108" s="110" t="n"/>
      <c r="P108" s="110" t="n"/>
      <c r="Q108" s="29" t="inlineStr">
        <is>
          <t>추가 / 추정치 미제공</t>
        </is>
      </c>
    </row>
    <row r="109" ht="21.95" customHeight="1">
      <c r="A109" s="18" t="inlineStr">
        <is>
          <t>미산출</t>
        </is>
      </c>
      <c r="B109" s="29" t="inlineStr">
        <is>
          <t>레이크머티리얼즈</t>
        </is>
      </c>
      <c r="C109" s="105" t="inlineStr">
        <is>
          <t>281740</t>
        </is>
      </c>
      <c r="D109" s="106">
        <f>IF(ISNUMBER(원자료!I109),원자료!I109,"미확인")</f>
        <v/>
      </c>
      <c r="E109" s="106">
        <f>IF(AND(ISNUMBER(D109),ISNUMBER(원자료!J109)),D109*원자료!J109/100000000,"미산출")</f>
        <v/>
      </c>
      <c r="F109" s="107">
        <f>IF(ISNUMBER(원자료!T109),원자료!T109,"미확인")</f>
        <v/>
      </c>
      <c r="G109" s="106">
        <f>IF(ISNUMBER(원자료!D109),원자료!D109,"미확인")</f>
        <v/>
      </c>
      <c r="H109" s="133">
        <f>IF(AND(ISNUMBER(F109),ISNUMBER(G109)),IF(F109=0,IF(G109&gt;0,"흑자전환",IF(G109=0,"손익분기","미확인")),IF(F109&lt;0,IF(G109&gt;0,"흑자전환",IF(G109=0,"손익분기","적자지속")),IF(G109&lt;0,"적자전환",IF(G109=0,-1,G109/F109-1)))),"미확인")</f>
        <v/>
      </c>
      <c r="I109" s="107">
        <f>IF(ISNUMBER(원자료!U109),원자료!U109,"미확인")</f>
        <v/>
      </c>
      <c r="J109" s="106">
        <f>IF(ISNUMBER(원자료!E109),원자료!E109,"미확인")</f>
        <v/>
      </c>
      <c r="K109" s="133">
        <f>IF(AND(ISNUMBER(I109),ISNUMBER(J109)),IF(I109=0,IF(J109&gt;0,"흑자전환",IF(J109=0,"손익분기","미확인")),IF(I109&lt;0,IF(J109&gt;0,"흑자전환",IF(J109=0,"손익분기","적자지속")),IF(J109&lt;0,"적자전환",IF(J109=0,-1,J109/I109-1)))),"미확인")</f>
        <v/>
      </c>
      <c r="L109" s="134">
        <f>IF(AND(ISNUMBER(E109),ISNUMBER(G109),G109&gt;0),E109/G109,"미산출")</f>
        <v/>
      </c>
      <c r="M109" s="135">
        <f>IF(AND(ISNUMBER(E109),ISNUMBER(J109),J109&gt;0),E109/J109,"미산출")</f>
        <v/>
      </c>
      <c r="N109" s="136">
        <f>IF(ISNUMBER(원자료!O109),원자료!O109,"미확인")</f>
        <v/>
      </c>
      <c r="O109" s="110" t="n"/>
      <c r="P109" s="110" t="n"/>
      <c r="Q109" s="29" t="inlineStr">
        <is>
          <t>추가 / 추정치 미제공</t>
        </is>
      </c>
    </row>
    <row r="110" ht="21.95" customHeight="1">
      <c r="A110" s="18" t="inlineStr">
        <is>
          <t>미산출</t>
        </is>
      </c>
      <c r="B110" s="29" t="inlineStr">
        <is>
          <t>월덱스</t>
        </is>
      </c>
      <c r="C110" s="105" t="inlineStr">
        <is>
          <t>101160</t>
        </is>
      </c>
      <c r="D110" s="106">
        <f>IF(ISNUMBER(원자료!I110),원자료!I110,"미확인")</f>
        <v/>
      </c>
      <c r="E110" s="106">
        <f>IF(AND(ISNUMBER(D110),ISNUMBER(원자료!J110)),D110*원자료!J110/100000000,"미산출")</f>
        <v/>
      </c>
      <c r="F110" s="107">
        <f>IF(ISNUMBER(원자료!T110),원자료!T110,"미확인")</f>
        <v/>
      </c>
      <c r="G110" s="106">
        <f>IF(ISNUMBER(원자료!D110),원자료!D110,"미확인")</f>
        <v/>
      </c>
      <c r="H110" s="133">
        <f>IF(AND(ISNUMBER(F110),ISNUMBER(G110)),IF(F110=0,IF(G110&gt;0,"흑자전환",IF(G110=0,"손익분기","미확인")),IF(F110&lt;0,IF(G110&gt;0,"흑자전환",IF(G110=0,"손익분기","적자지속")),IF(G110&lt;0,"적자전환",IF(G110=0,-1,G110/F110-1)))),"미확인")</f>
        <v/>
      </c>
      <c r="I110" s="107">
        <f>IF(ISNUMBER(원자료!U110),원자료!U110,"미확인")</f>
        <v/>
      </c>
      <c r="J110" s="106">
        <f>IF(ISNUMBER(원자료!E110),원자료!E110,"미확인")</f>
        <v/>
      </c>
      <c r="K110" s="133">
        <f>IF(AND(ISNUMBER(I110),ISNUMBER(J110)),IF(I110=0,IF(J110&gt;0,"흑자전환",IF(J110=0,"손익분기","미확인")),IF(I110&lt;0,IF(J110&gt;0,"흑자전환",IF(J110=0,"손익분기","적자지속")),IF(J110&lt;0,"적자전환",IF(J110=0,-1,J110/I110-1)))),"미확인")</f>
        <v/>
      </c>
      <c r="L110" s="134">
        <f>IF(AND(ISNUMBER(E110),ISNUMBER(G110),G110&gt;0),E110/G110,"미산출")</f>
        <v/>
      </c>
      <c r="M110" s="135">
        <f>IF(AND(ISNUMBER(E110),ISNUMBER(J110),J110&gt;0),E110/J110,"미산출")</f>
        <v/>
      </c>
      <c r="N110" s="136">
        <f>IF(ISNUMBER(원자료!O110),원자료!O110,"미확인")</f>
        <v/>
      </c>
      <c r="O110" s="110" t="n"/>
      <c r="P110" s="110" t="n"/>
      <c r="Q110" s="29" t="inlineStr">
        <is>
          <t>추가 / 추정치 미제공</t>
        </is>
      </c>
    </row>
    <row r="111" ht="21.95" customHeight="1">
      <c r="A111" s="18" t="inlineStr">
        <is>
          <t>미산출</t>
        </is>
      </c>
      <c r="B111" s="29" t="inlineStr">
        <is>
          <t>아모텍</t>
        </is>
      </c>
      <c r="C111" s="105" t="inlineStr">
        <is>
          <t>052710</t>
        </is>
      </c>
      <c r="D111" s="106">
        <f>IF(ISNUMBER(원자료!I111),원자료!I111,"미확인")</f>
        <v/>
      </c>
      <c r="E111" s="106">
        <f>IF(AND(ISNUMBER(D111),ISNUMBER(원자료!J111)),D111*원자료!J111/100000000,"미산출")</f>
        <v/>
      </c>
      <c r="F111" s="107">
        <f>IF(ISNUMBER(원자료!T111),원자료!T111,"미확인")</f>
        <v/>
      </c>
      <c r="G111" s="106">
        <f>IF(ISNUMBER(원자료!D111),원자료!D111,"미확인")</f>
        <v/>
      </c>
      <c r="H111" s="133">
        <f>IF(AND(ISNUMBER(F111),ISNUMBER(G111)),IF(F111=0,IF(G111&gt;0,"흑자전환",IF(G111=0,"손익분기","미확인")),IF(F111&lt;0,IF(G111&gt;0,"흑자전환",IF(G111=0,"손익분기","적자지속")),IF(G111&lt;0,"적자전환",IF(G111=0,-1,G111/F111-1)))),"미확인")</f>
        <v/>
      </c>
      <c r="I111" s="107">
        <f>IF(ISNUMBER(원자료!U111),원자료!U111,"미확인")</f>
        <v/>
      </c>
      <c r="J111" s="106">
        <f>IF(ISNUMBER(원자료!E111),원자료!E111,"미확인")</f>
        <v/>
      </c>
      <c r="K111" s="133">
        <f>IF(AND(ISNUMBER(I111),ISNUMBER(J111)),IF(I111=0,IF(J111&gt;0,"흑자전환",IF(J111=0,"손익분기","미확인")),IF(I111&lt;0,IF(J111&gt;0,"흑자전환",IF(J111=0,"손익분기","적자지속")),IF(J111&lt;0,"적자전환",IF(J111=0,-1,J111/I111-1)))),"미확인")</f>
        <v/>
      </c>
      <c r="L111" s="134">
        <f>IF(AND(ISNUMBER(E111),ISNUMBER(G111),G111&gt;0),E111/G111,"미산출")</f>
        <v/>
      </c>
      <c r="M111" s="135">
        <f>IF(AND(ISNUMBER(E111),ISNUMBER(J111),J111&gt;0),E111/J111,"미산출")</f>
        <v/>
      </c>
      <c r="N111" s="136">
        <f>IF(ISNUMBER(원자료!O111),원자료!O111,"미확인")</f>
        <v/>
      </c>
      <c r="O111" s="110" t="n"/>
      <c r="P111" s="110" t="n"/>
      <c r="Q111" s="29" t="inlineStr">
        <is>
          <t>추가 / 추정치 미제공</t>
        </is>
      </c>
    </row>
    <row r="112" ht="21.95" customHeight="1">
      <c r="A112" s="18" t="inlineStr">
        <is>
          <t>미산출</t>
        </is>
      </c>
      <c r="B112" s="29" t="inlineStr">
        <is>
          <t>OCI홀딩스</t>
        </is>
      </c>
      <c r="C112" s="105" t="inlineStr">
        <is>
          <t>010060</t>
        </is>
      </c>
      <c r="D112" s="106">
        <f>IF(ISNUMBER(원자료!I112),원자료!I112,"미확인")</f>
        <v/>
      </c>
      <c r="E112" s="106">
        <f>IF(AND(ISNUMBER(D112),ISNUMBER(원자료!J112)),D112*원자료!J112/100000000,"미산출")</f>
        <v/>
      </c>
      <c r="F112" s="107">
        <f>IF(ISNUMBER(원자료!T112),원자료!T112,"미확인")</f>
        <v/>
      </c>
      <c r="G112" s="106">
        <f>IF(ISNUMBER(원자료!D112),원자료!D112,"미확인")</f>
        <v/>
      </c>
      <c r="H112" s="133">
        <f>IF(AND(ISNUMBER(F112),ISNUMBER(G112)),IF(F112=0,IF(G112&gt;0,"흑자전환",IF(G112=0,"손익분기","미확인")),IF(F112&lt;0,IF(G112&gt;0,"흑자전환",IF(G112=0,"손익분기","적자지속")),IF(G112&lt;0,"적자전환",IF(G112=0,-1,G112/F112-1)))),"미확인")</f>
        <v/>
      </c>
      <c r="I112" s="107">
        <f>IF(ISNUMBER(원자료!U112),원자료!U112,"미확인")</f>
        <v/>
      </c>
      <c r="J112" s="106">
        <f>IF(ISNUMBER(원자료!E112),원자료!E112,"미확인")</f>
        <v/>
      </c>
      <c r="K112" s="133">
        <f>IF(AND(ISNUMBER(I112),ISNUMBER(J112)),IF(I112=0,IF(J112&gt;0,"흑자전환",IF(J112=0,"손익분기","미확인")),IF(I112&lt;0,IF(J112&gt;0,"흑자전환",IF(J112=0,"손익분기","적자지속")),IF(J112&lt;0,"적자전환",IF(J112=0,-1,J112/I112-1)))),"미확인")</f>
        <v/>
      </c>
      <c r="L112" s="134">
        <f>IF(AND(ISNUMBER(E112),ISNUMBER(G112),G112&gt;0),E112/G112,"미산출")</f>
        <v/>
      </c>
      <c r="M112" s="135">
        <f>IF(AND(ISNUMBER(E112),ISNUMBER(J112),J112&gt;0),E112/J112,"미산출")</f>
        <v/>
      </c>
      <c r="N112" s="136">
        <f>IF(ISNUMBER(원자료!O112),원자료!O112,"미확인")</f>
        <v/>
      </c>
      <c r="O112" s="110" t="n"/>
      <c r="P112" s="110" t="n"/>
      <c r="Q112" s="29" t="inlineStr">
        <is>
          <t>추가 / 추정치 미제공</t>
        </is>
      </c>
    </row>
    <row r="113" ht="21.95" customHeight="1">
      <c r="A113" s="18" t="inlineStr">
        <is>
          <t>미산출</t>
        </is>
      </c>
      <c r="B113" s="29" t="inlineStr">
        <is>
          <t>AP시스템</t>
        </is>
      </c>
      <c r="C113" s="105" t="inlineStr">
        <is>
          <t>265520</t>
        </is>
      </c>
      <c r="D113" s="106">
        <f>IF(ISNUMBER(원자료!I113),원자료!I113,"미확인")</f>
        <v/>
      </c>
      <c r="E113" s="106">
        <f>IF(AND(ISNUMBER(D113),ISNUMBER(원자료!J113)),D113*원자료!J113/100000000,"미산출")</f>
        <v/>
      </c>
      <c r="F113" s="107">
        <f>IF(ISNUMBER(원자료!T113),원자료!T113,"미확인")</f>
        <v/>
      </c>
      <c r="G113" s="106">
        <f>IF(ISNUMBER(원자료!D113),원자료!D113,"미확인")</f>
        <v/>
      </c>
      <c r="H113" s="133">
        <f>IF(AND(ISNUMBER(F113),ISNUMBER(G113)),IF(F113=0,IF(G113&gt;0,"흑자전환",IF(G113=0,"손익분기","미확인")),IF(F113&lt;0,IF(G113&gt;0,"흑자전환",IF(G113=0,"손익분기","적자지속")),IF(G113&lt;0,"적자전환",IF(G113=0,-1,G113/F113-1)))),"미확인")</f>
        <v/>
      </c>
      <c r="I113" s="107">
        <f>IF(ISNUMBER(원자료!U113),원자료!U113,"미확인")</f>
        <v/>
      </c>
      <c r="J113" s="106">
        <f>IF(ISNUMBER(원자료!E113),원자료!E113,"미확인")</f>
        <v/>
      </c>
      <c r="K113" s="133">
        <f>IF(AND(ISNUMBER(I113),ISNUMBER(J113)),IF(I113=0,IF(J113&gt;0,"흑자전환",IF(J113=0,"손익분기","미확인")),IF(I113&lt;0,IF(J113&gt;0,"흑자전환",IF(J113=0,"손익분기","적자지속")),IF(J113&lt;0,"적자전환",IF(J113=0,-1,J113/I113-1)))),"미확인")</f>
        <v/>
      </c>
      <c r="L113" s="134">
        <f>IF(AND(ISNUMBER(E113),ISNUMBER(G113),G113&gt;0),E113/G113,"미산출")</f>
        <v/>
      </c>
      <c r="M113" s="135">
        <f>IF(AND(ISNUMBER(E113),ISNUMBER(J113),J113&gt;0),E113/J113,"미산출")</f>
        <v/>
      </c>
      <c r="N113" s="136">
        <f>IF(ISNUMBER(원자료!O113),원자료!O113,"미확인")</f>
        <v/>
      </c>
      <c r="O113" s="110" t="n"/>
      <c r="P113" s="110" t="n"/>
      <c r="Q113" s="29" t="inlineStr">
        <is>
          <t>추가 / 추정치 미제공</t>
        </is>
      </c>
    </row>
    <row r="114" ht="21.95" customHeight="1">
      <c r="A114" s="18" t="inlineStr">
        <is>
          <t>미산출</t>
        </is>
      </c>
      <c r="B114" s="29" t="inlineStr">
        <is>
          <t>켐트로닉스</t>
        </is>
      </c>
      <c r="C114" s="105" t="inlineStr">
        <is>
          <t>089010</t>
        </is>
      </c>
      <c r="D114" s="106">
        <f>IF(ISNUMBER(원자료!I114),원자료!I114,"미확인")</f>
        <v/>
      </c>
      <c r="E114" s="106">
        <f>IF(AND(ISNUMBER(D114),ISNUMBER(원자료!J114)),D114*원자료!J114/100000000,"미산출")</f>
        <v/>
      </c>
      <c r="F114" s="107">
        <f>IF(ISNUMBER(원자료!T114),원자료!T114,"미확인")</f>
        <v/>
      </c>
      <c r="G114" s="106">
        <f>IF(ISNUMBER(원자료!D114),원자료!D114,"미확인")</f>
        <v/>
      </c>
      <c r="H114" s="133">
        <f>IF(AND(ISNUMBER(F114),ISNUMBER(G114)),IF(F114=0,IF(G114&gt;0,"흑자전환",IF(G114=0,"손익분기","미확인")),IF(F114&lt;0,IF(G114&gt;0,"흑자전환",IF(G114=0,"손익분기","적자지속")),IF(G114&lt;0,"적자전환",IF(G114=0,-1,G114/F114-1)))),"미확인")</f>
        <v/>
      </c>
      <c r="I114" s="107">
        <f>IF(ISNUMBER(원자료!U114),원자료!U114,"미확인")</f>
        <v/>
      </c>
      <c r="J114" s="106">
        <f>IF(ISNUMBER(원자료!E114),원자료!E114,"미확인")</f>
        <v/>
      </c>
      <c r="K114" s="133">
        <f>IF(AND(ISNUMBER(I114),ISNUMBER(J114)),IF(I114=0,IF(J114&gt;0,"흑자전환",IF(J114=0,"손익분기","미확인")),IF(I114&lt;0,IF(J114&gt;0,"흑자전환",IF(J114=0,"손익분기","적자지속")),IF(J114&lt;0,"적자전환",IF(J114=0,-1,J114/I114-1)))),"미확인")</f>
        <v/>
      </c>
      <c r="L114" s="134">
        <f>IF(AND(ISNUMBER(E114),ISNUMBER(G114),G114&gt;0),E114/G114,"미산출")</f>
        <v/>
      </c>
      <c r="M114" s="135">
        <f>IF(AND(ISNUMBER(E114),ISNUMBER(J114),J114&gt;0),E114/J114,"미산출")</f>
        <v/>
      </c>
      <c r="N114" s="136">
        <f>IF(ISNUMBER(원자료!O114),원자료!O114,"미확인")</f>
        <v/>
      </c>
      <c r="O114" s="110" t="n"/>
      <c r="P114" s="110" t="n"/>
      <c r="Q114" s="29" t="inlineStr">
        <is>
          <t>추가 / 추정치 미제공</t>
        </is>
      </c>
    </row>
    <row r="115" ht="21.95" customHeight="1">
      <c r="A115" s="18" t="inlineStr">
        <is>
          <t>미산출</t>
        </is>
      </c>
      <c r="B115" s="29" t="inlineStr">
        <is>
          <t>씨엠티엑스</t>
        </is>
      </c>
      <c r="C115" s="105" t="inlineStr">
        <is>
          <t>388210</t>
        </is>
      </c>
      <c r="D115" s="106">
        <f>IF(ISNUMBER(원자료!I115),원자료!I115,"미확인")</f>
        <v/>
      </c>
      <c r="E115" s="106">
        <f>IF(AND(ISNUMBER(D115),ISNUMBER(원자료!J115)),D115*원자료!J115/100000000,"미산출")</f>
        <v/>
      </c>
      <c r="F115" s="107">
        <f>IF(ISNUMBER(원자료!T115),원자료!T115,"미확인")</f>
        <v/>
      </c>
      <c r="G115" s="106">
        <f>IF(ISNUMBER(원자료!D115),원자료!D115,"미확인")</f>
        <v/>
      </c>
      <c r="H115" s="133">
        <f>IF(AND(ISNUMBER(F115),ISNUMBER(G115)),IF(F115=0,IF(G115&gt;0,"흑자전환",IF(G115=0,"손익분기","미확인")),IF(F115&lt;0,IF(G115&gt;0,"흑자전환",IF(G115=0,"손익분기","적자지속")),IF(G115&lt;0,"적자전환",IF(G115=0,-1,G115/F115-1)))),"미확인")</f>
        <v/>
      </c>
      <c r="I115" s="107">
        <f>IF(ISNUMBER(원자료!U115),원자료!U115,"미확인")</f>
        <v/>
      </c>
      <c r="J115" s="106">
        <f>IF(ISNUMBER(원자료!E115),원자료!E115,"미확인")</f>
        <v/>
      </c>
      <c r="K115" s="133">
        <f>IF(AND(ISNUMBER(I115),ISNUMBER(J115)),IF(I115=0,IF(J115&gt;0,"흑자전환",IF(J115=0,"손익분기","미확인")),IF(I115&lt;0,IF(J115&gt;0,"흑자전환",IF(J115=0,"손익분기","적자지속")),IF(J115&lt;0,"적자전환",IF(J115=0,-1,J115/I115-1)))),"미확인")</f>
        <v/>
      </c>
      <c r="L115" s="134">
        <f>IF(AND(ISNUMBER(E115),ISNUMBER(G115),G115&gt;0),E115/G115,"미산출")</f>
        <v/>
      </c>
      <c r="M115" s="135">
        <f>IF(AND(ISNUMBER(E115),ISNUMBER(J115),J115&gt;0),E115/J115,"미산출")</f>
        <v/>
      </c>
      <c r="N115" s="136">
        <f>IF(ISNUMBER(원자료!O115),원자료!O115,"미확인")</f>
        <v/>
      </c>
      <c r="O115" s="110" t="n"/>
      <c r="P115" s="110" t="n"/>
      <c r="Q115" s="29" t="inlineStr">
        <is>
          <t>추가 / 추정치 미제공</t>
        </is>
      </c>
    </row>
    <row r="116" ht="21.95" customHeight="1">
      <c r="A116" s="18" t="inlineStr">
        <is>
          <t>미산출</t>
        </is>
      </c>
      <c r="B116" s="29" t="inlineStr">
        <is>
          <t>디엔에프</t>
        </is>
      </c>
      <c r="C116" s="105" t="inlineStr">
        <is>
          <t>092070</t>
        </is>
      </c>
      <c r="D116" s="106">
        <f>IF(ISNUMBER(원자료!I116),원자료!I116,"미확인")</f>
        <v/>
      </c>
      <c r="E116" s="106">
        <f>IF(AND(ISNUMBER(D116),ISNUMBER(원자료!J116)),D116*원자료!J116/100000000,"미산출")</f>
        <v/>
      </c>
      <c r="F116" s="107">
        <f>IF(ISNUMBER(원자료!T116),원자료!T116,"미확인")</f>
        <v/>
      </c>
      <c r="G116" s="106">
        <f>IF(ISNUMBER(원자료!D116),원자료!D116,"미확인")</f>
        <v/>
      </c>
      <c r="H116" s="133">
        <f>IF(AND(ISNUMBER(F116),ISNUMBER(G116)),IF(F116=0,IF(G116&gt;0,"흑자전환",IF(G116=0,"손익분기","미확인")),IF(F116&lt;0,IF(G116&gt;0,"흑자전환",IF(G116=0,"손익분기","적자지속")),IF(G116&lt;0,"적자전환",IF(G116=0,-1,G116/F116-1)))),"미확인")</f>
        <v/>
      </c>
      <c r="I116" s="107">
        <f>IF(ISNUMBER(원자료!U116),원자료!U116,"미확인")</f>
        <v/>
      </c>
      <c r="J116" s="106">
        <f>IF(ISNUMBER(원자료!E116),원자료!E116,"미확인")</f>
        <v/>
      </c>
      <c r="K116" s="133">
        <f>IF(AND(ISNUMBER(I116),ISNUMBER(J116)),IF(I116=0,IF(J116&gt;0,"흑자전환",IF(J116=0,"손익분기","미확인")),IF(I116&lt;0,IF(J116&gt;0,"흑자전환",IF(J116=0,"손익분기","적자지속")),IF(J116&lt;0,"적자전환",IF(J116=0,-1,J116/I116-1)))),"미확인")</f>
        <v/>
      </c>
      <c r="L116" s="134">
        <f>IF(AND(ISNUMBER(E116),ISNUMBER(G116),G116&gt;0),E116/G116,"미산출")</f>
        <v/>
      </c>
      <c r="M116" s="135">
        <f>IF(AND(ISNUMBER(E116),ISNUMBER(J116),J116&gt;0),E116/J116,"미산출")</f>
        <v/>
      </c>
      <c r="N116" s="136">
        <f>IF(ISNUMBER(원자료!O116),원자료!O116,"미확인")</f>
        <v/>
      </c>
      <c r="O116" s="110" t="n"/>
      <c r="P116" s="110" t="n"/>
      <c r="Q116" s="29" t="inlineStr">
        <is>
          <t>추가 / 추정치 미제공</t>
        </is>
      </c>
    </row>
    <row r="117" ht="21.95" customHeight="1">
      <c r="A117" s="18" t="inlineStr">
        <is>
          <t>미산출</t>
        </is>
      </c>
      <c r="B117" s="29" t="inlineStr">
        <is>
          <t>케이씨텍</t>
        </is>
      </c>
      <c r="C117" s="105" t="inlineStr">
        <is>
          <t>281820</t>
        </is>
      </c>
      <c r="D117" s="106">
        <f>IF(ISNUMBER(원자료!I117),원자료!I117,"미확인")</f>
        <v/>
      </c>
      <c r="E117" s="106">
        <f>IF(AND(ISNUMBER(D117),ISNUMBER(원자료!J117)),D117*원자료!J117/100000000,"미산출")</f>
        <v/>
      </c>
      <c r="F117" s="107">
        <f>IF(ISNUMBER(원자료!T117),원자료!T117,"미확인")</f>
        <v/>
      </c>
      <c r="G117" s="106">
        <f>IF(ISNUMBER(원자료!D117),원자료!D117,"미확인")</f>
        <v/>
      </c>
      <c r="H117" s="133">
        <f>IF(AND(ISNUMBER(F117),ISNUMBER(G117)),IF(F117=0,IF(G117&gt;0,"흑자전환",IF(G117=0,"손익분기","미확인")),IF(F117&lt;0,IF(G117&gt;0,"흑자전환",IF(G117=0,"손익분기","적자지속")),IF(G117&lt;0,"적자전환",IF(G117=0,-1,G117/F117-1)))),"미확인")</f>
        <v/>
      </c>
      <c r="I117" s="107">
        <f>IF(ISNUMBER(원자료!U117),원자료!U117,"미확인")</f>
        <v/>
      </c>
      <c r="J117" s="106">
        <f>IF(ISNUMBER(원자료!E117),원자료!E117,"미확인")</f>
        <v/>
      </c>
      <c r="K117" s="133">
        <f>IF(AND(ISNUMBER(I117),ISNUMBER(J117)),IF(I117=0,IF(J117&gt;0,"흑자전환",IF(J117=0,"손익분기","미확인")),IF(I117&lt;0,IF(J117&gt;0,"흑자전환",IF(J117=0,"손익분기","적자지속")),IF(J117&lt;0,"적자전환",IF(J117=0,-1,J117/I117-1)))),"미확인")</f>
        <v/>
      </c>
      <c r="L117" s="134">
        <f>IF(AND(ISNUMBER(E117),ISNUMBER(G117),G117&gt;0),E117/G117,"미산출")</f>
        <v/>
      </c>
      <c r="M117" s="135">
        <f>IF(AND(ISNUMBER(E117),ISNUMBER(J117),J117&gt;0),E117/J117,"미산출")</f>
        <v/>
      </c>
      <c r="N117" s="136">
        <f>IF(ISNUMBER(원자료!O117),원자료!O117,"미확인")</f>
        <v/>
      </c>
      <c r="O117" s="110" t="n"/>
      <c r="P117" s="110" t="n"/>
      <c r="Q117" s="29" t="inlineStr">
        <is>
          <t>추가 / 추정치 미제공</t>
        </is>
      </c>
    </row>
    <row r="118" ht="21.95" customHeight="1">
      <c r="A118" s="18" t="inlineStr">
        <is>
          <t>미산출</t>
        </is>
      </c>
      <c r="B118" s="29" t="inlineStr">
        <is>
          <t>한양이엔지</t>
        </is>
      </c>
      <c r="C118" s="105" t="inlineStr">
        <is>
          <t>045100</t>
        </is>
      </c>
      <c r="D118" s="106">
        <f>IF(ISNUMBER(원자료!I118),원자료!I118,"미확인")</f>
        <v/>
      </c>
      <c r="E118" s="106">
        <f>IF(AND(ISNUMBER(D118),ISNUMBER(원자료!J118)),D118*원자료!J118/100000000,"미산출")</f>
        <v/>
      </c>
      <c r="F118" s="107">
        <f>IF(ISNUMBER(원자료!T118),원자료!T118,"미확인")</f>
        <v/>
      </c>
      <c r="G118" s="106">
        <f>IF(ISNUMBER(원자료!D118),원자료!D118,"미확인")</f>
        <v/>
      </c>
      <c r="H118" s="133">
        <f>IF(AND(ISNUMBER(F118),ISNUMBER(G118)),IF(F118=0,IF(G118&gt;0,"흑자전환",IF(G118=0,"손익분기","미확인")),IF(F118&lt;0,IF(G118&gt;0,"흑자전환",IF(G118=0,"손익분기","적자지속")),IF(G118&lt;0,"적자전환",IF(G118=0,-1,G118/F118-1)))),"미확인")</f>
        <v/>
      </c>
      <c r="I118" s="107">
        <f>IF(ISNUMBER(원자료!U118),원자료!U118,"미확인")</f>
        <v/>
      </c>
      <c r="J118" s="106">
        <f>IF(ISNUMBER(원자료!E118),원자료!E118,"미확인")</f>
        <v/>
      </c>
      <c r="K118" s="133">
        <f>IF(AND(ISNUMBER(I118),ISNUMBER(J118)),IF(I118=0,IF(J118&gt;0,"흑자전환",IF(J118=0,"손익분기","미확인")),IF(I118&lt;0,IF(J118&gt;0,"흑자전환",IF(J118=0,"손익분기","적자지속")),IF(J118&lt;0,"적자전환",IF(J118=0,-1,J118/I118-1)))),"미확인")</f>
        <v/>
      </c>
      <c r="L118" s="134">
        <f>IF(AND(ISNUMBER(E118),ISNUMBER(G118),G118&gt;0),E118/G118,"미산출")</f>
        <v/>
      </c>
      <c r="M118" s="135">
        <f>IF(AND(ISNUMBER(E118),ISNUMBER(J118),J118&gt;0),E118/J118,"미산출")</f>
        <v/>
      </c>
      <c r="N118" s="136">
        <f>IF(ISNUMBER(원자료!O118),원자료!O118,"미확인")</f>
        <v/>
      </c>
      <c r="O118" s="110" t="n"/>
      <c r="P118" s="110" t="n"/>
      <c r="Q118" s="29" t="inlineStr">
        <is>
          <t>추가 / 추정치 미제공</t>
        </is>
      </c>
    </row>
    <row r="119" ht="21.95" customHeight="1">
      <c r="A119" s="18" t="inlineStr">
        <is>
          <t>미산출</t>
        </is>
      </c>
      <c r="B119" s="29" t="inlineStr">
        <is>
          <t>성도이엔지</t>
        </is>
      </c>
      <c r="C119" s="105" t="inlineStr">
        <is>
          <t>037350</t>
        </is>
      </c>
      <c r="D119" s="106">
        <f>IF(ISNUMBER(원자료!I119),원자료!I119,"미확인")</f>
        <v/>
      </c>
      <c r="E119" s="106">
        <f>IF(AND(ISNUMBER(D119),ISNUMBER(원자료!J119)),D119*원자료!J119/100000000,"미산출")</f>
        <v/>
      </c>
      <c r="F119" s="107">
        <f>IF(ISNUMBER(원자료!T119),원자료!T119,"미확인")</f>
        <v/>
      </c>
      <c r="G119" s="106">
        <f>IF(ISNUMBER(원자료!D119),원자료!D119,"미확인")</f>
        <v/>
      </c>
      <c r="H119" s="133">
        <f>IF(AND(ISNUMBER(F119),ISNUMBER(G119)),IF(F119=0,IF(G119&gt;0,"흑자전환",IF(G119=0,"손익분기","미확인")),IF(F119&lt;0,IF(G119&gt;0,"흑자전환",IF(G119=0,"손익분기","적자지속")),IF(G119&lt;0,"적자전환",IF(G119=0,-1,G119/F119-1)))),"미확인")</f>
        <v/>
      </c>
      <c r="I119" s="107">
        <f>IF(ISNUMBER(원자료!U119),원자료!U119,"미확인")</f>
        <v/>
      </c>
      <c r="J119" s="106">
        <f>IF(ISNUMBER(원자료!E119),원자료!E119,"미확인")</f>
        <v/>
      </c>
      <c r="K119" s="133">
        <f>IF(AND(ISNUMBER(I119),ISNUMBER(J119)),IF(I119=0,IF(J119&gt;0,"흑자전환",IF(J119=0,"손익분기","미확인")),IF(I119&lt;0,IF(J119&gt;0,"흑자전환",IF(J119=0,"손익분기","적자지속")),IF(J119&lt;0,"적자전환",IF(J119=0,-1,J119/I119-1)))),"미확인")</f>
        <v/>
      </c>
      <c r="L119" s="134">
        <f>IF(AND(ISNUMBER(E119),ISNUMBER(G119),G119&gt;0),E119/G119,"미산출")</f>
        <v/>
      </c>
      <c r="M119" s="135">
        <f>IF(AND(ISNUMBER(E119),ISNUMBER(J119),J119&gt;0),E119/J119,"미산출")</f>
        <v/>
      </c>
      <c r="N119" s="136">
        <f>IF(ISNUMBER(원자료!O119),원자료!O119,"미확인")</f>
        <v/>
      </c>
      <c r="O119" s="110" t="n"/>
      <c r="P119" s="110" t="n"/>
      <c r="Q119" s="29" t="inlineStr">
        <is>
          <t>추가 / 추정치 미제공</t>
        </is>
      </c>
    </row>
    <row r="120" ht="21.95" customHeight="1">
      <c r="A120" s="18" t="inlineStr">
        <is>
          <t>미산출</t>
        </is>
      </c>
      <c r="B120" s="29" t="inlineStr">
        <is>
          <t>케이엔솔</t>
        </is>
      </c>
      <c r="C120" s="105" t="inlineStr">
        <is>
          <t>053080</t>
        </is>
      </c>
      <c r="D120" s="106">
        <f>IF(ISNUMBER(원자료!I120),원자료!I120,"미확인")</f>
        <v/>
      </c>
      <c r="E120" s="106">
        <f>IF(AND(ISNUMBER(D120),ISNUMBER(원자료!J120)),D120*원자료!J120/100000000,"미산출")</f>
        <v/>
      </c>
      <c r="F120" s="107">
        <f>IF(ISNUMBER(원자료!T120),원자료!T120,"미확인")</f>
        <v/>
      </c>
      <c r="G120" s="106">
        <f>IF(ISNUMBER(원자료!D120),원자료!D120,"미확인")</f>
        <v/>
      </c>
      <c r="H120" s="133">
        <f>IF(AND(ISNUMBER(F120),ISNUMBER(G120)),IF(F120=0,IF(G120&gt;0,"흑자전환",IF(G120=0,"손익분기","미확인")),IF(F120&lt;0,IF(G120&gt;0,"흑자전환",IF(G120=0,"손익분기","적자지속")),IF(G120&lt;0,"적자전환",IF(G120=0,-1,G120/F120-1)))),"미확인")</f>
        <v/>
      </c>
      <c r="I120" s="107">
        <f>IF(ISNUMBER(원자료!U120),원자료!U120,"미확인")</f>
        <v/>
      </c>
      <c r="J120" s="106">
        <f>IF(ISNUMBER(원자료!E120),원자료!E120,"미확인")</f>
        <v/>
      </c>
      <c r="K120" s="133">
        <f>IF(AND(ISNUMBER(I120),ISNUMBER(J120)),IF(I120=0,IF(J120&gt;0,"흑자전환",IF(J120=0,"손익분기","미확인")),IF(I120&lt;0,IF(J120&gt;0,"흑자전환",IF(J120=0,"손익분기","적자지속")),IF(J120&lt;0,"적자전환",IF(J120=0,-1,J120/I120-1)))),"미확인")</f>
        <v/>
      </c>
      <c r="L120" s="134">
        <f>IF(AND(ISNUMBER(E120),ISNUMBER(G120),G120&gt;0),E120/G120,"미산출")</f>
        <v/>
      </c>
      <c r="M120" s="135">
        <f>IF(AND(ISNUMBER(E120),ISNUMBER(J120),J120&gt;0),E120/J120,"미산출")</f>
        <v/>
      </c>
      <c r="N120" s="136">
        <f>IF(ISNUMBER(원자료!O120),원자료!O120,"미확인")</f>
        <v/>
      </c>
      <c r="O120" s="110" t="n"/>
      <c r="P120" s="110" t="n"/>
      <c r="Q120" s="29" t="inlineStr">
        <is>
          <t>추가 / 추정치 미제공</t>
        </is>
      </c>
    </row>
    <row r="121" ht="21.95" customHeight="1">
      <c r="A121" s="18" t="inlineStr">
        <is>
          <t>미산출</t>
        </is>
      </c>
      <c r="B121" s="29" t="inlineStr">
        <is>
          <t>SFA</t>
        </is>
      </c>
      <c r="C121" s="105" t="inlineStr">
        <is>
          <t>056190</t>
        </is>
      </c>
      <c r="D121" s="106">
        <f>IF(ISNUMBER(원자료!I121),원자료!I121,"미확인")</f>
        <v/>
      </c>
      <c r="E121" s="106">
        <f>IF(AND(ISNUMBER(D121),ISNUMBER(원자료!J121)),D121*원자료!J121/100000000,"미산출")</f>
        <v/>
      </c>
      <c r="F121" s="107">
        <f>IF(ISNUMBER(원자료!T121),원자료!T121,"미확인")</f>
        <v/>
      </c>
      <c r="G121" s="106">
        <f>IF(ISNUMBER(원자료!D121),원자료!D121,"미확인")</f>
        <v/>
      </c>
      <c r="H121" s="133">
        <f>IF(AND(ISNUMBER(F121),ISNUMBER(G121)),IF(F121=0,IF(G121&gt;0,"흑자전환",IF(G121=0,"손익분기","미확인")),IF(F121&lt;0,IF(G121&gt;0,"흑자전환",IF(G121=0,"손익분기","적자지속")),IF(G121&lt;0,"적자전환",IF(G121=0,-1,G121/F121-1)))),"미확인")</f>
        <v/>
      </c>
      <c r="I121" s="107">
        <f>IF(ISNUMBER(원자료!U121),원자료!U121,"미확인")</f>
        <v/>
      </c>
      <c r="J121" s="106">
        <f>IF(ISNUMBER(원자료!E121),원자료!E121,"미확인")</f>
        <v/>
      </c>
      <c r="K121" s="133">
        <f>IF(AND(ISNUMBER(I121),ISNUMBER(J121)),IF(I121=0,IF(J121&gt;0,"흑자전환",IF(J121=0,"손익분기","미확인")),IF(I121&lt;0,IF(J121&gt;0,"흑자전환",IF(J121=0,"손익분기","적자지속")),IF(J121&lt;0,"적자전환",IF(J121=0,-1,J121/I121-1)))),"미확인")</f>
        <v/>
      </c>
      <c r="L121" s="134">
        <f>IF(AND(ISNUMBER(E121),ISNUMBER(G121),G121&gt;0),E121/G121,"미산출")</f>
        <v/>
      </c>
      <c r="M121" s="135">
        <f>IF(AND(ISNUMBER(E121),ISNUMBER(J121),J121&gt;0),E121/J121,"미산출")</f>
        <v/>
      </c>
      <c r="N121" s="136">
        <f>IF(ISNUMBER(원자료!O121),원자료!O121,"미확인")</f>
        <v/>
      </c>
      <c r="O121" s="110" t="n"/>
      <c r="P121" s="110" t="n"/>
      <c r="Q121" s="29" t="inlineStr">
        <is>
          <t>추가 / 추정치 미제공</t>
        </is>
      </c>
    </row>
    <row r="122" ht="21.95" customHeight="1">
      <c r="A122" s="18" t="inlineStr">
        <is>
          <t>미산출</t>
        </is>
      </c>
      <c r="B122" s="29" t="inlineStr">
        <is>
          <t>에스티아이</t>
        </is>
      </c>
      <c r="C122" s="105" t="inlineStr">
        <is>
          <t>039440</t>
        </is>
      </c>
      <c r="D122" s="106">
        <f>IF(ISNUMBER(원자료!I122),원자료!I122,"미확인")</f>
        <v/>
      </c>
      <c r="E122" s="106">
        <f>IF(AND(ISNUMBER(D122),ISNUMBER(원자료!J122)),D122*원자료!J122/100000000,"미산출")</f>
        <v/>
      </c>
      <c r="F122" s="107">
        <f>IF(ISNUMBER(원자료!T122),원자료!T122,"미확인")</f>
        <v/>
      </c>
      <c r="G122" s="106">
        <f>IF(ISNUMBER(원자료!D122),원자료!D122,"미확인")</f>
        <v/>
      </c>
      <c r="H122" s="133">
        <f>IF(AND(ISNUMBER(F122),ISNUMBER(G122)),IF(F122=0,IF(G122&gt;0,"흑자전환",IF(G122=0,"손익분기","미확인")),IF(F122&lt;0,IF(G122&gt;0,"흑자전환",IF(G122=0,"손익분기","적자지속")),IF(G122&lt;0,"적자전환",IF(G122=0,-1,G122/F122-1)))),"미확인")</f>
        <v/>
      </c>
      <c r="I122" s="107">
        <f>IF(ISNUMBER(원자료!U122),원자료!U122,"미확인")</f>
        <v/>
      </c>
      <c r="J122" s="106">
        <f>IF(ISNUMBER(원자료!E122),원자료!E122,"미확인")</f>
        <v/>
      </c>
      <c r="K122" s="133">
        <f>IF(AND(ISNUMBER(I122),ISNUMBER(J122)),IF(I122=0,IF(J122&gt;0,"흑자전환",IF(J122=0,"손익분기","미확인")),IF(I122&lt;0,IF(J122&gt;0,"흑자전환",IF(J122=0,"손익분기","적자지속")),IF(J122&lt;0,"적자전환",IF(J122=0,-1,J122/I122-1)))),"미확인")</f>
        <v/>
      </c>
      <c r="L122" s="134">
        <f>IF(AND(ISNUMBER(E122),ISNUMBER(G122),G122&gt;0),E122/G122,"미산출")</f>
        <v/>
      </c>
      <c r="M122" s="135">
        <f>IF(AND(ISNUMBER(E122),ISNUMBER(J122),J122&gt;0),E122/J122,"미산출")</f>
        <v/>
      </c>
      <c r="N122" s="136">
        <f>IF(ISNUMBER(원자료!O122),원자료!O122,"미확인")</f>
        <v/>
      </c>
      <c r="O122" s="110" t="n"/>
      <c r="P122" s="110" t="n"/>
      <c r="Q122" s="29" t="inlineStr">
        <is>
          <t>추가 / 추정치 미제공</t>
        </is>
      </c>
    </row>
    <row r="123" ht="21.95" customHeight="1">
      <c r="A123" s="18" t="inlineStr">
        <is>
          <t>미산출</t>
        </is>
      </c>
      <c r="B123" s="29" t="inlineStr">
        <is>
          <t>지아이에스</t>
        </is>
      </c>
      <c r="C123" s="105" t="inlineStr">
        <is>
          <t>306620</t>
        </is>
      </c>
      <c r="D123" s="106">
        <f>IF(ISNUMBER(원자료!I123),원자료!I123,"미확인")</f>
        <v/>
      </c>
      <c r="E123" s="106">
        <f>IF(AND(ISNUMBER(D123),ISNUMBER(원자료!J123)),D123*원자료!J123/100000000,"미산출")</f>
        <v/>
      </c>
      <c r="F123" s="107">
        <f>IF(ISNUMBER(원자료!T123),원자료!T123,"미확인")</f>
        <v/>
      </c>
      <c r="G123" s="106">
        <f>IF(ISNUMBER(원자료!D123),원자료!D123,"미확인")</f>
        <v/>
      </c>
      <c r="H123" s="133">
        <f>IF(AND(ISNUMBER(F123),ISNUMBER(G123)),IF(F123=0,IF(G123&gt;0,"흑자전환",IF(G123=0,"손익분기","미확인")),IF(F123&lt;0,IF(G123&gt;0,"흑자전환",IF(G123=0,"손익분기","적자지속")),IF(G123&lt;0,"적자전환",IF(G123=0,-1,G123/F123-1)))),"미확인")</f>
        <v/>
      </c>
      <c r="I123" s="107">
        <f>IF(ISNUMBER(원자료!U123),원자료!U123,"미확인")</f>
        <v/>
      </c>
      <c r="J123" s="106">
        <f>IF(ISNUMBER(원자료!E123),원자료!E123,"미확인")</f>
        <v/>
      </c>
      <c r="K123" s="133">
        <f>IF(AND(ISNUMBER(I123),ISNUMBER(J123)),IF(I123=0,IF(J123&gt;0,"흑자전환",IF(J123=0,"손익분기","미확인")),IF(I123&lt;0,IF(J123&gt;0,"흑자전환",IF(J123=0,"손익분기","적자지속")),IF(J123&lt;0,"적자전환",IF(J123=0,-1,J123/I123-1)))),"미확인")</f>
        <v/>
      </c>
      <c r="L123" s="134">
        <f>IF(AND(ISNUMBER(E123),ISNUMBER(G123),G123&gt;0),E123/G123,"미산출")</f>
        <v/>
      </c>
      <c r="M123" s="135">
        <f>IF(AND(ISNUMBER(E123),ISNUMBER(J123),J123&gt;0),E123/J123,"미산출")</f>
        <v/>
      </c>
      <c r="N123" s="136">
        <f>IF(ISNUMBER(원자료!O123),원자료!O123,"미확인")</f>
        <v/>
      </c>
      <c r="O123" s="110" t="n"/>
      <c r="P123" s="110" t="n"/>
      <c r="Q123" s="29" t="inlineStr">
        <is>
          <t>추가 / 추정치 미제공</t>
        </is>
      </c>
    </row>
    <row r="124" ht="21.95" customHeight="1">
      <c r="A124" s="18" t="inlineStr">
        <is>
          <t>미산출</t>
        </is>
      </c>
      <c r="B124" s="29" t="inlineStr">
        <is>
          <t>서진시스템</t>
        </is>
      </c>
      <c r="C124" s="105" t="inlineStr">
        <is>
          <t>178320</t>
        </is>
      </c>
      <c r="D124" s="106">
        <f>IF(ISNUMBER(원자료!I124),원자료!I124,"미확인")</f>
        <v/>
      </c>
      <c r="E124" s="106">
        <f>IF(AND(ISNUMBER(D124),ISNUMBER(원자료!J124)),D124*원자료!J124/100000000,"미산출")</f>
        <v/>
      </c>
      <c r="F124" s="107">
        <f>IF(ISNUMBER(원자료!T124),원자료!T124,"미확인")</f>
        <v/>
      </c>
      <c r="G124" s="106">
        <f>IF(ISNUMBER(원자료!D124),원자료!D124,"미확인")</f>
        <v/>
      </c>
      <c r="H124" s="133">
        <f>IF(AND(ISNUMBER(F124),ISNUMBER(G124)),IF(F124=0,IF(G124&gt;0,"흑자전환",IF(G124=0,"손익분기","미확인")),IF(F124&lt;0,IF(G124&gt;0,"흑자전환",IF(G124=0,"손익분기","적자지속")),IF(G124&lt;0,"적자전환",IF(G124=0,-1,G124/F124-1)))),"미확인")</f>
        <v/>
      </c>
      <c r="I124" s="107">
        <f>IF(ISNUMBER(원자료!U124),원자료!U124,"미확인")</f>
        <v/>
      </c>
      <c r="J124" s="106">
        <f>IF(ISNUMBER(원자료!E124),원자료!E124,"미확인")</f>
        <v/>
      </c>
      <c r="K124" s="133">
        <f>IF(AND(ISNUMBER(I124),ISNUMBER(J124)),IF(I124=0,IF(J124&gt;0,"흑자전환",IF(J124=0,"손익분기","미확인")),IF(I124&lt;0,IF(J124&gt;0,"흑자전환",IF(J124=0,"손익분기","적자지속")),IF(J124&lt;0,"적자전환",IF(J124=0,-1,J124/I124-1)))),"미확인")</f>
        <v/>
      </c>
      <c r="L124" s="134">
        <f>IF(AND(ISNUMBER(E124),ISNUMBER(G124),G124&gt;0),E124/G124,"미산출")</f>
        <v/>
      </c>
      <c r="M124" s="135">
        <f>IF(AND(ISNUMBER(E124),ISNUMBER(J124),J124&gt;0),E124/J124,"미산출")</f>
        <v/>
      </c>
      <c r="N124" s="136">
        <f>IF(ISNUMBER(원자료!O124),원자료!O124,"미확인")</f>
        <v/>
      </c>
      <c r="O124" s="110" t="n"/>
      <c r="P124" s="110" t="n"/>
      <c r="Q124" s="29" t="inlineStr">
        <is>
          <t>추가 / 추정치 미제공</t>
        </is>
      </c>
    </row>
    <row r="125" ht="21.95" customHeight="1">
      <c r="A125" s="18" t="inlineStr">
        <is>
          <t>미산출</t>
        </is>
      </c>
      <c r="B125" s="29" t="inlineStr">
        <is>
          <t>아스플로</t>
        </is>
      </c>
      <c r="C125" s="105" t="inlineStr">
        <is>
          <t>159010</t>
        </is>
      </c>
      <c r="D125" s="106">
        <f>IF(ISNUMBER(원자료!I125),원자료!I125,"미확인")</f>
        <v/>
      </c>
      <c r="E125" s="106">
        <f>IF(AND(ISNUMBER(D125),ISNUMBER(원자료!J125)),D125*원자료!J125/100000000,"미산출")</f>
        <v/>
      </c>
      <c r="F125" s="107">
        <f>IF(ISNUMBER(원자료!T125),원자료!T125,"미확인")</f>
        <v/>
      </c>
      <c r="G125" s="106">
        <f>IF(ISNUMBER(원자료!D125),원자료!D125,"미확인")</f>
        <v/>
      </c>
      <c r="H125" s="133">
        <f>IF(AND(ISNUMBER(F125),ISNUMBER(G125)),IF(F125=0,IF(G125&gt;0,"흑자전환",IF(G125=0,"손익분기","미확인")),IF(F125&lt;0,IF(G125&gt;0,"흑자전환",IF(G125=0,"손익분기","적자지속")),IF(G125&lt;0,"적자전환",IF(G125=0,-1,G125/F125-1)))),"미확인")</f>
        <v/>
      </c>
      <c r="I125" s="107">
        <f>IF(ISNUMBER(원자료!U125),원자료!U125,"미확인")</f>
        <v/>
      </c>
      <c r="J125" s="106">
        <f>IF(ISNUMBER(원자료!E125),원자료!E125,"미확인")</f>
        <v/>
      </c>
      <c r="K125" s="133">
        <f>IF(AND(ISNUMBER(I125),ISNUMBER(J125)),IF(I125=0,IF(J125&gt;0,"흑자전환",IF(J125=0,"손익분기","미확인")),IF(I125&lt;0,IF(J125&gt;0,"흑자전환",IF(J125=0,"손익분기","적자지속")),IF(J125&lt;0,"적자전환",IF(J125=0,-1,J125/I125-1)))),"미확인")</f>
        <v/>
      </c>
      <c r="L125" s="134">
        <f>IF(AND(ISNUMBER(E125),ISNUMBER(G125),G125&gt;0),E125/G125,"미산출")</f>
        <v/>
      </c>
      <c r="M125" s="135">
        <f>IF(AND(ISNUMBER(E125),ISNUMBER(J125),J125&gt;0),E125/J125,"미산출")</f>
        <v/>
      </c>
      <c r="N125" s="136">
        <f>IF(ISNUMBER(원자료!O125),원자료!O125,"미확인")</f>
        <v/>
      </c>
      <c r="O125" s="110" t="n"/>
      <c r="P125" s="110" t="n"/>
      <c r="Q125" s="29" t="inlineStr">
        <is>
          <t>추가 / 추정치 미제공</t>
        </is>
      </c>
    </row>
    <row r="126" ht="21.95" customHeight="1">
      <c r="A126" s="18" t="inlineStr">
        <is>
          <t>미산출</t>
        </is>
      </c>
      <c r="B126" s="29" t="inlineStr">
        <is>
          <t>한화비전</t>
        </is>
      </c>
      <c r="C126" s="105" t="inlineStr">
        <is>
          <t>489790</t>
        </is>
      </c>
      <c r="D126" s="106">
        <f>IF(ISNUMBER(원자료!I126),원자료!I126,"미확인")</f>
        <v/>
      </c>
      <c r="E126" s="106">
        <f>IF(AND(ISNUMBER(D126),ISNUMBER(원자료!J126)),D126*원자료!J126/100000000,"미산출")</f>
        <v/>
      </c>
      <c r="F126" s="107">
        <f>IF(ISNUMBER(원자료!T126),원자료!T126,"미확인")</f>
        <v/>
      </c>
      <c r="G126" s="106">
        <f>IF(ISNUMBER(원자료!D126),원자료!D126,"미확인")</f>
        <v/>
      </c>
      <c r="H126" s="133">
        <f>IF(AND(ISNUMBER(F126),ISNUMBER(G126)),IF(F126=0,IF(G126&gt;0,"흑자전환",IF(G126=0,"손익분기","미확인")),IF(F126&lt;0,IF(G126&gt;0,"흑자전환",IF(G126=0,"손익분기","적자지속")),IF(G126&lt;0,"적자전환",IF(G126=0,-1,G126/F126-1)))),"미확인")</f>
        <v/>
      </c>
      <c r="I126" s="107">
        <f>IF(ISNUMBER(원자료!U126),원자료!U126,"미확인")</f>
        <v/>
      </c>
      <c r="J126" s="106">
        <f>IF(ISNUMBER(원자료!E126),원자료!E126,"미확인")</f>
        <v/>
      </c>
      <c r="K126" s="133">
        <f>IF(AND(ISNUMBER(I126),ISNUMBER(J126)),IF(I126=0,IF(J126&gt;0,"흑자전환",IF(J126=0,"손익분기","미확인")),IF(I126&lt;0,IF(J126&gt;0,"흑자전환",IF(J126=0,"손익분기","적자지속")),IF(J126&lt;0,"적자전환",IF(J126=0,-1,J126/I126-1)))),"미확인")</f>
        <v/>
      </c>
      <c r="L126" s="134">
        <f>IF(AND(ISNUMBER(E126),ISNUMBER(G126),G126&gt;0),E126/G126,"미산출")</f>
        <v/>
      </c>
      <c r="M126" s="135">
        <f>IF(AND(ISNUMBER(E126),ISNUMBER(J126),J126&gt;0),E126/J126,"미산출")</f>
        <v/>
      </c>
      <c r="N126" s="136">
        <f>IF(ISNUMBER(원자료!O126),원자료!O126,"미확인")</f>
        <v/>
      </c>
      <c r="O126" s="110" t="n"/>
      <c r="P126" s="110" t="n"/>
      <c r="Q126" s="29" t="inlineStr">
        <is>
          <t>추가 / 추정치 미제공</t>
        </is>
      </c>
    </row>
    <row r="127" ht="21.95" customHeight="1">
      <c r="A127" s="18" t="inlineStr">
        <is>
          <t>미산출</t>
        </is>
      </c>
      <c r="B127" s="29" t="inlineStr">
        <is>
          <t>쎄크</t>
        </is>
      </c>
      <c r="C127" s="105" t="inlineStr">
        <is>
          <t>081180</t>
        </is>
      </c>
      <c r="D127" s="106">
        <f>IF(ISNUMBER(원자료!I127),원자료!I127,"미확인")</f>
        <v/>
      </c>
      <c r="E127" s="106">
        <f>IF(AND(ISNUMBER(D127),ISNUMBER(원자료!J127)),D127*원자료!J127/100000000,"미산출")</f>
        <v/>
      </c>
      <c r="F127" s="107">
        <f>IF(ISNUMBER(원자료!T127),원자료!T127,"미확인")</f>
        <v/>
      </c>
      <c r="G127" s="106">
        <f>IF(ISNUMBER(원자료!D127),원자료!D127,"미확인")</f>
        <v/>
      </c>
      <c r="H127" s="133">
        <f>IF(AND(ISNUMBER(F127),ISNUMBER(G127)),IF(F127=0,IF(G127&gt;0,"흑자전환",IF(G127=0,"손익분기","미확인")),IF(F127&lt;0,IF(G127&gt;0,"흑자전환",IF(G127=0,"손익분기","적자지속")),IF(G127&lt;0,"적자전환",IF(G127=0,-1,G127/F127-1)))),"미확인")</f>
        <v/>
      </c>
      <c r="I127" s="107">
        <f>IF(ISNUMBER(원자료!U127),원자료!U127,"미확인")</f>
        <v/>
      </c>
      <c r="J127" s="106">
        <f>IF(ISNUMBER(원자료!E127),원자료!E127,"미확인")</f>
        <v/>
      </c>
      <c r="K127" s="133">
        <f>IF(AND(ISNUMBER(I127),ISNUMBER(J127)),IF(I127=0,IF(J127&gt;0,"흑자전환",IF(J127=0,"손익분기","미확인")),IF(I127&lt;0,IF(J127&gt;0,"흑자전환",IF(J127=0,"손익분기","적자지속")),IF(J127&lt;0,"적자전환",IF(J127=0,-1,J127/I127-1)))),"미확인")</f>
        <v/>
      </c>
      <c r="L127" s="134">
        <f>IF(AND(ISNUMBER(E127),ISNUMBER(G127),G127&gt;0),E127/G127,"미산출")</f>
        <v/>
      </c>
      <c r="M127" s="135">
        <f>IF(AND(ISNUMBER(E127),ISNUMBER(J127),J127&gt;0),E127/J127,"미산출")</f>
        <v/>
      </c>
      <c r="N127" s="136">
        <f>IF(ISNUMBER(원자료!O127),원자료!O127,"미확인")</f>
        <v/>
      </c>
      <c r="O127" s="110" t="n"/>
      <c r="P127" s="110" t="n"/>
      <c r="Q127" s="29" t="inlineStr">
        <is>
          <t>추가 / 추정치 미제공</t>
        </is>
      </c>
    </row>
    <row r="128" ht="21.95" customHeight="1">
      <c r="A128" s="18" t="inlineStr">
        <is>
          <t>미산출</t>
        </is>
      </c>
      <c r="B128" s="29" t="inlineStr">
        <is>
          <t>토모큐브</t>
        </is>
      </c>
      <c r="C128" s="105" t="inlineStr">
        <is>
          <t>475960</t>
        </is>
      </c>
      <c r="D128" s="106">
        <f>IF(ISNUMBER(원자료!I128),원자료!I128,"미확인")</f>
        <v/>
      </c>
      <c r="E128" s="106">
        <f>IF(AND(ISNUMBER(D128),ISNUMBER(원자료!J128)),D128*원자료!J128/100000000,"미산출")</f>
        <v/>
      </c>
      <c r="F128" s="107">
        <f>IF(ISNUMBER(원자료!T128),원자료!T128,"미확인")</f>
        <v/>
      </c>
      <c r="G128" s="106">
        <f>IF(ISNUMBER(원자료!D128),원자료!D128,"미확인")</f>
        <v/>
      </c>
      <c r="H128" s="133">
        <f>IF(AND(ISNUMBER(F128),ISNUMBER(G128)),IF(F128=0,IF(G128&gt;0,"흑자전환",IF(G128=0,"손익분기","미확인")),IF(F128&lt;0,IF(G128&gt;0,"흑자전환",IF(G128=0,"손익분기","적자지속")),IF(G128&lt;0,"적자전환",IF(G128=0,-1,G128/F128-1)))),"미확인")</f>
        <v/>
      </c>
      <c r="I128" s="107">
        <f>IF(ISNUMBER(원자료!U128),원자료!U128,"미확인")</f>
        <v/>
      </c>
      <c r="J128" s="106">
        <f>IF(ISNUMBER(원자료!E128),원자료!E128,"미확인")</f>
        <v/>
      </c>
      <c r="K128" s="133">
        <f>IF(AND(ISNUMBER(I128),ISNUMBER(J128)),IF(I128=0,IF(J128&gt;0,"흑자전환",IF(J128=0,"손익분기","미확인")),IF(I128&lt;0,IF(J128&gt;0,"흑자전환",IF(J128=0,"손익분기","적자지속")),IF(J128&lt;0,"적자전환",IF(J128=0,-1,J128/I128-1)))),"미확인")</f>
        <v/>
      </c>
      <c r="L128" s="134">
        <f>IF(AND(ISNUMBER(E128),ISNUMBER(G128),G128&gt;0),E128/G128,"미산출")</f>
        <v/>
      </c>
      <c r="M128" s="135">
        <f>IF(AND(ISNUMBER(E128),ISNUMBER(J128),J128&gt;0),E128/J128,"미산출")</f>
        <v/>
      </c>
      <c r="N128" s="136">
        <f>IF(ISNUMBER(원자료!O128),원자료!O128,"미확인")</f>
        <v/>
      </c>
      <c r="O128" s="110" t="n"/>
      <c r="P128" s="110" t="n"/>
      <c r="Q128" s="29" t="inlineStr">
        <is>
          <t>추가 / 추정치 미제공</t>
        </is>
      </c>
    </row>
    <row r="129" ht="21.95" customHeight="1">
      <c r="A129" s="18" t="inlineStr">
        <is>
          <t>미산출</t>
        </is>
      </c>
      <c r="B129" s="29" t="inlineStr">
        <is>
          <t>제너셈</t>
        </is>
      </c>
      <c r="C129" s="105" t="inlineStr">
        <is>
          <t>217190</t>
        </is>
      </c>
      <c r="D129" s="106">
        <f>IF(ISNUMBER(원자료!I129),원자료!I129,"미확인")</f>
        <v/>
      </c>
      <c r="E129" s="106">
        <f>IF(AND(ISNUMBER(D129),ISNUMBER(원자료!J129)),D129*원자료!J129/100000000,"미산출")</f>
        <v/>
      </c>
      <c r="F129" s="107">
        <f>IF(ISNUMBER(원자료!T129),원자료!T129,"미확인")</f>
        <v/>
      </c>
      <c r="G129" s="106">
        <f>IF(ISNUMBER(원자료!D129),원자료!D129,"미확인")</f>
        <v/>
      </c>
      <c r="H129" s="133">
        <f>IF(AND(ISNUMBER(F129),ISNUMBER(G129)),IF(F129=0,IF(G129&gt;0,"흑자전환",IF(G129=0,"손익분기","미확인")),IF(F129&lt;0,IF(G129&gt;0,"흑자전환",IF(G129=0,"손익분기","적자지속")),IF(G129&lt;0,"적자전환",IF(G129=0,-1,G129/F129-1)))),"미확인")</f>
        <v/>
      </c>
      <c r="I129" s="107">
        <f>IF(ISNUMBER(원자료!U129),원자료!U129,"미확인")</f>
        <v/>
      </c>
      <c r="J129" s="106">
        <f>IF(ISNUMBER(원자료!E129),원자료!E129,"미확인")</f>
        <v/>
      </c>
      <c r="K129" s="133">
        <f>IF(AND(ISNUMBER(I129),ISNUMBER(J129)),IF(I129=0,IF(J129&gt;0,"흑자전환",IF(J129=0,"손익분기","미확인")),IF(I129&lt;0,IF(J129&gt;0,"흑자전환",IF(J129=0,"손익분기","적자지속")),IF(J129&lt;0,"적자전환",IF(J129=0,-1,J129/I129-1)))),"미확인")</f>
        <v/>
      </c>
      <c r="L129" s="134">
        <f>IF(AND(ISNUMBER(E129),ISNUMBER(G129),G129&gt;0),E129/G129,"미산출")</f>
        <v/>
      </c>
      <c r="M129" s="135">
        <f>IF(AND(ISNUMBER(E129),ISNUMBER(J129),J129&gt;0),E129/J129,"미산출")</f>
        <v/>
      </c>
      <c r="N129" s="136">
        <f>IF(ISNUMBER(원자료!O129),원자료!O129,"미확인")</f>
        <v/>
      </c>
      <c r="O129" s="110" t="n"/>
      <c r="P129" s="110" t="n"/>
      <c r="Q129" s="29" t="inlineStr">
        <is>
          <t>추가 / 추정치 미제공</t>
        </is>
      </c>
    </row>
    <row r="130" ht="21.95" customHeight="1">
      <c r="A130" s="18" t="inlineStr">
        <is>
          <t>미산출</t>
        </is>
      </c>
      <c r="B130" s="29" t="inlineStr">
        <is>
          <t>레이저쎌</t>
        </is>
      </c>
      <c r="C130" s="105" t="inlineStr">
        <is>
          <t>412350</t>
        </is>
      </c>
      <c r="D130" s="106">
        <f>IF(ISNUMBER(원자료!I130),원자료!I130,"미확인")</f>
        <v/>
      </c>
      <c r="E130" s="106">
        <f>IF(AND(ISNUMBER(D130),ISNUMBER(원자료!J130)),D130*원자료!J130/100000000,"미산출")</f>
        <v/>
      </c>
      <c r="F130" s="107">
        <f>IF(ISNUMBER(원자료!T130),원자료!T130,"미확인")</f>
        <v/>
      </c>
      <c r="G130" s="106">
        <f>IF(ISNUMBER(원자료!D130),원자료!D130,"미확인")</f>
        <v/>
      </c>
      <c r="H130" s="133">
        <f>IF(AND(ISNUMBER(F130),ISNUMBER(G130)),IF(F130=0,IF(G130&gt;0,"흑자전환",IF(G130=0,"손익분기","미확인")),IF(F130&lt;0,IF(G130&gt;0,"흑자전환",IF(G130=0,"손익분기","적자지속")),IF(G130&lt;0,"적자전환",IF(G130=0,-1,G130/F130-1)))),"미확인")</f>
        <v/>
      </c>
      <c r="I130" s="107">
        <f>IF(ISNUMBER(원자료!U130),원자료!U130,"미확인")</f>
        <v/>
      </c>
      <c r="J130" s="106">
        <f>IF(ISNUMBER(원자료!E130),원자료!E130,"미확인")</f>
        <v/>
      </c>
      <c r="K130" s="133">
        <f>IF(AND(ISNUMBER(I130),ISNUMBER(J130)),IF(I130=0,IF(J130&gt;0,"흑자전환",IF(J130=0,"손익분기","미확인")),IF(I130&lt;0,IF(J130&gt;0,"흑자전환",IF(J130=0,"손익분기","적자지속")),IF(J130&lt;0,"적자전환",IF(J130=0,-1,J130/I130-1)))),"미확인")</f>
        <v/>
      </c>
      <c r="L130" s="134">
        <f>IF(AND(ISNUMBER(E130),ISNUMBER(G130),G130&gt;0),E130/G130,"미산출")</f>
        <v/>
      </c>
      <c r="M130" s="135">
        <f>IF(AND(ISNUMBER(E130),ISNUMBER(J130),J130&gt;0),E130/J130,"미산출")</f>
        <v/>
      </c>
      <c r="N130" s="136">
        <f>IF(ISNUMBER(원자료!O130),원자료!O130,"미확인")</f>
        <v/>
      </c>
      <c r="O130" s="110" t="n"/>
      <c r="P130" s="110" t="n"/>
      <c r="Q130" s="29" t="inlineStr">
        <is>
          <t>추가 / 추정치 미제공</t>
        </is>
      </c>
    </row>
    <row r="131" ht="21.95" customHeight="1">
      <c r="A131" s="18" t="inlineStr">
        <is>
          <t>미산출</t>
        </is>
      </c>
      <c r="B131" s="29" t="inlineStr">
        <is>
          <t>로체시스템즈</t>
        </is>
      </c>
      <c r="C131" s="105" t="inlineStr">
        <is>
          <t>071280</t>
        </is>
      </c>
      <c r="D131" s="106">
        <f>IF(ISNUMBER(원자료!I131),원자료!I131,"미확인")</f>
        <v/>
      </c>
      <c r="E131" s="106">
        <f>IF(AND(ISNUMBER(D131),ISNUMBER(원자료!J131)),D131*원자료!J131/100000000,"미산출")</f>
        <v/>
      </c>
      <c r="F131" s="107">
        <f>IF(ISNUMBER(원자료!T131),원자료!T131,"미확인")</f>
        <v/>
      </c>
      <c r="G131" s="106">
        <f>IF(ISNUMBER(원자료!D131),원자료!D131,"미확인")</f>
        <v/>
      </c>
      <c r="H131" s="133">
        <f>IF(AND(ISNUMBER(F131),ISNUMBER(G131)),IF(F131=0,IF(G131&gt;0,"흑자전환",IF(G131=0,"손익분기","미확인")),IF(F131&lt;0,IF(G131&gt;0,"흑자전환",IF(G131=0,"손익분기","적자지속")),IF(G131&lt;0,"적자전환",IF(G131=0,-1,G131/F131-1)))),"미확인")</f>
        <v/>
      </c>
      <c r="I131" s="107">
        <f>IF(ISNUMBER(원자료!U131),원자료!U131,"미확인")</f>
        <v/>
      </c>
      <c r="J131" s="106">
        <f>IF(ISNUMBER(원자료!E131),원자료!E131,"미확인")</f>
        <v/>
      </c>
      <c r="K131" s="133">
        <f>IF(AND(ISNUMBER(I131),ISNUMBER(J131)),IF(I131=0,IF(J131&gt;0,"흑자전환",IF(J131=0,"손익분기","미확인")),IF(I131&lt;0,IF(J131&gt;0,"흑자전환",IF(J131=0,"손익분기","적자지속")),IF(J131&lt;0,"적자전환",IF(J131=0,-1,J131/I131-1)))),"미확인")</f>
        <v/>
      </c>
      <c r="L131" s="134">
        <f>IF(AND(ISNUMBER(E131),ISNUMBER(G131),G131&gt;0),E131/G131,"미산출")</f>
        <v/>
      </c>
      <c r="M131" s="135">
        <f>IF(AND(ISNUMBER(E131),ISNUMBER(J131),J131&gt;0),E131/J131,"미산출")</f>
        <v/>
      </c>
      <c r="N131" s="136">
        <f>IF(ISNUMBER(원자료!O131),원자료!O131,"미확인")</f>
        <v/>
      </c>
      <c r="O131" s="110" t="n"/>
      <c r="P131" s="110" t="n"/>
      <c r="Q131" s="29" t="inlineStr">
        <is>
          <t>추가 / 추정치 미제공</t>
        </is>
      </c>
    </row>
    <row r="132" ht="21.95" customHeight="1">
      <c r="A132" s="18" t="inlineStr">
        <is>
          <t>미산출</t>
        </is>
      </c>
      <c r="B132" s="29" t="inlineStr">
        <is>
          <t>디바이스</t>
        </is>
      </c>
      <c r="C132" s="105" t="inlineStr">
        <is>
          <t>187870</t>
        </is>
      </c>
      <c r="D132" s="106">
        <f>IF(ISNUMBER(원자료!I132),원자료!I132,"미확인")</f>
        <v/>
      </c>
      <c r="E132" s="106">
        <f>IF(AND(ISNUMBER(D132),ISNUMBER(원자료!J132)),D132*원자료!J132/100000000,"미산출")</f>
        <v/>
      </c>
      <c r="F132" s="107">
        <f>IF(ISNUMBER(원자료!T132),원자료!T132,"미확인")</f>
        <v/>
      </c>
      <c r="G132" s="106">
        <f>IF(ISNUMBER(원자료!D132),원자료!D132,"미확인")</f>
        <v/>
      </c>
      <c r="H132" s="133">
        <f>IF(AND(ISNUMBER(F132),ISNUMBER(G132)),IF(F132=0,IF(G132&gt;0,"흑자전환",IF(G132=0,"손익분기","미확인")),IF(F132&lt;0,IF(G132&gt;0,"흑자전환",IF(G132=0,"손익분기","적자지속")),IF(G132&lt;0,"적자전환",IF(G132=0,-1,G132/F132-1)))),"미확인")</f>
        <v/>
      </c>
      <c r="I132" s="107">
        <f>IF(ISNUMBER(원자료!U132),원자료!U132,"미확인")</f>
        <v/>
      </c>
      <c r="J132" s="106">
        <f>IF(ISNUMBER(원자료!E132),원자료!E132,"미확인")</f>
        <v/>
      </c>
      <c r="K132" s="133">
        <f>IF(AND(ISNUMBER(I132),ISNUMBER(J132)),IF(I132=0,IF(J132&gt;0,"흑자전환",IF(J132=0,"손익분기","미확인")),IF(I132&lt;0,IF(J132&gt;0,"흑자전환",IF(J132=0,"손익분기","적자지속")),IF(J132&lt;0,"적자전환",IF(J132=0,-1,J132/I132-1)))),"미확인")</f>
        <v/>
      </c>
      <c r="L132" s="134">
        <f>IF(AND(ISNUMBER(E132),ISNUMBER(G132),G132&gt;0),E132/G132,"미산출")</f>
        <v/>
      </c>
      <c r="M132" s="135">
        <f>IF(AND(ISNUMBER(E132),ISNUMBER(J132),J132&gt;0),E132/J132,"미산출")</f>
        <v/>
      </c>
      <c r="N132" s="136">
        <f>IF(ISNUMBER(원자료!O132),원자료!O132,"미확인")</f>
        <v/>
      </c>
      <c r="O132" s="110" t="n"/>
      <c r="P132" s="110" t="n"/>
      <c r="Q132" s="29" t="inlineStr">
        <is>
          <t>추가 / 추정치 미제공</t>
        </is>
      </c>
    </row>
    <row r="133" ht="21.95" customHeight="1">
      <c r="A133" s="18" t="inlineStr">
        <is>
          <t>미산출</t>
        </is>
      </c>
      <c r="B133" s="29" t="inlineStr">
        <is>
          <t>타이거일렉</t>
        </is>
      </c>
      <c r="C133" s="105" t="inlineStr">
        <is>
          <t>219130</t>
        </is>
      </c>
      <c r="D133" s="106">
        <f>IF(ISNUMBER(원자료!I133),원자료!I133,"미확인")</f>
        <v/>
      </c>
      <c r="E133" s="106">
        <f>IF(AND(ISNUMBER(D133),ISNUMBER(원자료!J133)),D133*원자료!J133/100000000,"미산출")</f>
        <v/>
      </c>
      <c r="F133" s="107">
        <f>IF(ISNUMBER(원자료!T133),원자료!T133,"미확인")</f>
        <v/>
      </c>
      <c r="G133" s="106">
        <f>IF(ISNUMBER(원자료!D133),원자료!D133,"미확인")</f>
        <v/>
      </c>
      <c r="H133" s="133">
        <f>IF(AND(ISNUMBER(F133),ISNUMBER(G133)),IF(F133=0,IF(G133&gt;0,"흑자전환",IF(G133=0,"손익분기","미확인")),IF(F133&lt;0,IF(G133&gt;0,"흑자전환",IF(G133=0,"손익분기","적자지속")),IF(G133&lt;0,"적자전환",IF(G133=0,-1,G133/F133-1)))),"미확인")</f>
        <v/>
      </c>
      <c r="I133" s="107">
        <f>IF(ISNUMBER(원자료!U133),원자료!U133,"미확인")</f>
        <v/>
      </c>
      <c r="J133" s="106">
        <f>IF(ISNUMBER(원자료!E133),원자료!E133,"미확인")</f>
        <v/>
      </c>
      <c r="K133" s="133">
        <f>IF(AND(ISNUMBER(I133),ISNUMBER(J133)),IF(I133=0,IF(J133&gt;0,"흑자전환",IF(J133=0,"손익분기","미확인")),IF(I133&lt;0,IF(J133&gt;0,"흑자전환",IF(J133=0,"손익분기","적자지속")),IF(J133&lt;0,"적자전환",IF(J133=0,-1,J133/I133-1)))),"미확인")</f>
        <v/>
      </c>
      <c r="L133" s="134">
        <f>IF(AND(ISNUMBER(E133),ISNUMBER(G133),G133&gt;0),E133/G133,"미산출")</f>
        <v/>
      </c>
      <c r="M133" s="135">
        <f>IF(AND(ISNUMBER(E133),ISNUMBER(J133),J133&gt;0),E133/J133,"미산출")</f>
        <v/>
      </c>
      <c r="N133" s="136">
        <f>IF(ISNUMBER(원자료!O133),원자료!O133,"미확인")</f>
        <v/>
      </c>
      <c r="O133" s="110" t="n"/>
      <c r="P133" s="110" t="n"/>
      <c r="Q133" s="29" t="inlineStr">
        <is>
          <t>추가 / 추정치 미제공</t>
        </is>
      </c>
    </row>
    <row r="134" ht="21.95" customHeight="1">
      <c r="A134" s="18" t="inlineStr">
        <is>
          <t>미산출</t>
        </is>
      </c>
      <c r="B134" s="29" t="inlineStr">
        <is>
          <t>메가터치</t>
        </is>
      </c>
      <c r="C134" s="105" t="inlineStr">
        <is>
          <t>446540</t>
        </is>
      </c>
      <c r="D134" s="106">
        <f>IF(ISNUMBER(원자료!I134),원자료!I134,"미확인")</f>
        <v/>
      </c>
      <c r="E134" s="106">
        <f>IF(AND(ISNUMBER(D134),ISNUMBER(원자료!J134)),D134*원자료!J134/100000000,"미산출")</f>
        <v/>
      </c>
      <c r="F134" s="107">
        <f>IF(ISNUMBER(원자료!T134),원자료!T134,"미확인")</f>
        <v/>
      </c>
      <c r="G134" s="106">
        <f>IF(ISNUMBER(원자료!D134),원자료!D134,"미확인")</f>
        <v/>
      </c>
      <c r="H134" s="133">
        <f>IF(AND(ISNUMBER(F134),ISNUMBER(G134)),IF(F134=0,IF(G134&gt;0,"흑자전환",IF(G134=0,"손익분기","미확인")),IF(F134&lt;0,IF(G134&gt;0,"흑자전환",IF(G134=0,"손익분기","적자지속")),IF(G134&lt;0,"적자전환",IF(G134=0,-1,G134/F134-1)))),"미확인")</f>
        <v/>
      </c>
      <c r="I134" s="107">
        <f>IF(ISNUMBER(원자료!U134),원자료!U134,"미확인")</f>
        <v/>
      </c>
      <c r="J134" s="106">
        <f>IF(ISNUMBER(원자료!E134),원자료!E134,"미확인")</f>
        <v/>
      </c>
      <c r="K134" s="133">
        <f>IF(AND(ISNUMBER(I134),ISNUMBER(J134)),IF(I134=0,IF(J134&gt;0,"흑자전환",IF(J134=0,"손익분기","미확인")),IF(I134&lt;0,IF(J134&gt;0,"흑자전환",IF(J134=0,"손익분기","적자지속")),IF(J134&lt;0,"적자전환",IF(J134=0,-1,J134/I134-1)))),"미확인")</f>
        <v/>
      </c>
      <c r="L134" s="134">
        <f>IF(AND(ISNUMBER(E134),ISNUMBER(G134),G134&gt;0),E134/G134,"미산출")</f>
        <v/>
      </c>
      <c r="M134" s="135">
        <f>IF(AND(ISNUMBER(E134),ISNUMBER(J134),J134&gt;0),E134/J134,"미산출")</f>
        <v/>
      </c>
      <c r="N134" s="136">
        <f>IF(ISNUMBER(원자료!O134),원자료!O134,"미확인")</f>
        <v/>
      </c>
      <c r="O134" s="110" t="n"/>
      <c r="P134" s="110" t="n"/>
      <c r="Q134" s="29" t="inlineStr">
        <is>
          <t>추가 / 추정치 미제공</t>
        </is>
      </c>
    </row>
    <row r="135" ht="21.95" customHeight="1">
      <c r="A135" s="18" t="inlineStr">
        <is>
          <t>미산출</t>
        </is>
      </c>
      <c r="B135" s="29" t="inlineStr">
        <is>
          <t>마이크로투나노</t>
        </is>
      </c>
      <c r="C135" s="105" t="inlineStr">
        <is>
          <t>424980</t>
        </is>
      </c>
      <c r="D135" s="106">
        <f>IF(ISNUMBER(원자료!I135),원자료!I135,"미확인")</f>
        <v/>
      </c>
      <c r="E135" s="106">
        <f>IF(AND(ISNUMBER(D135),ISNUMBER(원자료!J135)),D135*원자료!J135/100000000,"미산출")</f>
        <v/>
      </c>
      <c r="F135" s="107">
        <f>IF(ISNUMBER(원자료!T135),원자료!T135,"미확인")</f>
        <v/>
      </c>
      <c r="G135" s="106">
        <f>IF(ISNUMBER(원자료!D135),원자료!D135,"미확인")</f>
        <v/>
      </c>
      <c r="H135" s="133">
        <f>IF(AND(ISNUMBER(F135),ISNUMBER(G135)),IF(F135=0,IF(G135&gt;0,"흑자전환",IF(G135=0,"손익분기","미확인")),IF(F135&lt;0,IF(G135&gt;0,"흑자전환",IF(G135=0,"손익분기","적자지속")),IF(G135&lt;0,"적자전환",IF(G135=0,-1,G135/F135-1)))),"미확인")</f>
        <v/>
      </c>
      <c r="I135" s="107">
        <f>IF(ISNUMBER(원자료!U135),원자료!U135,"미확인")</f>
        <v/>
      </c>
      <c r="J135" s="106">
        <f>IF(ISNUMBER(원자료!E135),원자료!E135,"미확인")</f>
        <v/>
      </c>
      <c r="K135" s="133">
        <f>IF(AND(ISNUMBER(I135),ISNUMBER(J135)),IF(I135=0,IF(J135&gt;0,"흑자전환",IF(J135=0,"손익분기","미확인")),IF(I135&lt;0,IF(J135&gt;0,"흑자전환",IF(J135=0,"손익분기","적자지속")),IF(J135&lt;0,"적자전환",IF(J135=0,-1,J135/I135-1)))),"미확인")</f>
        <v/>
      </c>
      <c r="L135" s="134">
        <f>IF(AND(ISNUMBER(E135),ISNUMBER(G135),G135&gt;0),E135/G135,"미산출")</f>
        <v/>
      </c>
      <c r="M135" s="135">
        <f>IF(AND(ISNUMBER(E135),ISNUMBER(J135),J135&gt;0),E135/J135,"미산출")</f>
        <v/>
      </c>
      <c r="N135" s="136">
        <f>IF(ISNUMBER(원자료!O135),원자료!O135,"미확인")</f>
        <v/>
      </c>
      <c r="O135" s="110" t="n"/>
      <c r="P135" s="110" t="n"/>
      <c r="Q135" s="29" t="inlineStr">
        <is>
          <t>추가 / 추정치 미제공</t>
        </is>
      </c>
    </row>
    <row r="136" ht="21.95" customHeight="1">
      <c r="A136" s="18" t="inlineStr">
        <is>
          <t>미산출</t>
        </is>
      </c>
      <c r="B136" s="29" t="inlineStr">
        <is>
          <t>덕산테코피아</t>
        </is>
      </c>
      <c r="C136" s="105" t="inlineStr">
        <is>
          <t>317330</t>
        </is>
      </c>
      <c r="D136" s="106">
        <f>IF(ISNUMBER(원자료!I136),원자료!I136,"미확인")</f>
        <v/>
      </c>
      <c r="E136" s="106">
        <f>IF(AND(ISNUMBER(D136),ISNUMBER(원자료!J136)),D136*원자료!J136/100000000,"미산출")</f>
        <v/>
      </c>
      <c r="F136" s="107">
        <f>IF(ISNUMBER(원자료!T136),원자료!T136,"미확인")</f>
        <v/>
      </c>
      <c r="G136" s="106">
        <f>IF(ISNUMBER(원자료!D136),원자료!D136,"미확인")</f>
        <v/>
      </c>
      <c r="H136" s="133">
        <f>IF(AND(ISNUMBER(F136),ISNUMBER(G136)),IF(F136=0,IF(G136&gt;0,"흑자전환",IF(G136=0,"손익분기","미확인")),IF(F136&lt;0,IF(G136&gt;0,"흑자전환",IF(G136=0,"손익분기","적자지속")),IF(G136&lt;0,"적자전환",IF(G136=0,-1,G136/F136-1)))),"미확인")</f>
        <v/>
      </c>
      <c r="I136" s="107">
        <f>IF(ISNUMBER(원자료!U136),원자료!U136,"미확인")</f>
        <v/>
      </c>
      <c r="J136" s="106">
        <f>IF(ISNUMBER(원자료!E136),원자료!E136,"미확인")</f>
        <v/>
      </c>
      <c r="K136" s="133">
        <f>IF(AND(ISNUMBER(I136),ISNUMBER(J136)),IF(I136=0,IF(J136&gt;0,"흑자전환",IF(J136=0,"손익분기","미확인")),IF(I136&lt;0,IF(J136&gt;0,"흑자전환",IF(J136=0,"손익분기","적자지속")),IF(J136&lt;0,"적자전환",IF(J136=0,-1,J136/I136-1)))),"미확인")</f>
        <v/>
      </c>
      <c r="L136" s="134">
        <f>IF(AND(ISNUMBER(E136),ISNUMBER(G136),G136&gt;0),E136/G136,"미산출")</f>
        <v/>
      </c>
      <c r="M136" s="135">
        <f>IF(AND(ISNUMBER(E136),ISNUMBER(J136),J136&gt;0),E136/J136,"미산출")</f>
        <v/>
      </c>
      <c r="N136" s="136">
        <f>IF(ISNUMBER(원자료!O136),원자료!O136,"미확인")</f>
        <v/>
      </c>
      <c r="O136" s="110" t="n"/>
      <c r="P136" s="110" t="n"/>
      <c r="Q136" s="29" t="inlineStr">
        <is>
          <t>추가 / 추정치 미제공</t>
        </is>
      </c>
    </row>
    <row r="137" ht="21.95" customHeight="1">
      <c r="A137" s="18" t="inlineStr">
        <is>
          <t>미산출</t>
        </is>
      </c>
      <c r="B137" s="29" t="inlineStr">
        <is>
          <t>티이엠씨</t>
        </is>
      </c>
      <c r="C137" s="105" t="inlineStr">
        <is>
          <t>425040</t>
        </is>
      </c>
      <c r="D137" s="106">
        <f>IF(ISNUMBER(원자료!I137),원자료!I137,"미확인")</f>
        <v/>
      </c>
      <c r="E137" s="106">
        <f>IF(AND(ISNUMBER(D137),ISNUMBER(원자료!J137)),D137*원자료!J137/100000000,"미산출")</f>
        <v/>
      </c>
      <c r="F137" s="107">
        <f>IF(ISNUMBER(원자료!T137),원자료!T137,"미확인")</f>
        <v/>
      </c>
      <c r="G137" s="106">
        <f>IF(ISNUMBER(원자료!D137),원자료!D137,"미확인")</f>
        <v/>
      </c>
      <c r="H137" s="133">
        <f>IF(AND(ISNUMBER(F137),ISNUMBER(G137)),IF(F137=0,IF(G137&gt;0,"흑자전환",IF(G137=0,"손익분기","미확인")),IF(F137&lt;0,IF(G137&gt;0,"흑자전환",IF(G137=0,"손익분기","적자지속")),IF(G137&lt;0,"적자전환",IF(G137=0,-1,G137/F137-1)))),"미확인")</f>
        <v/>
      </c>
      <c r="I137" s="107">
        <f>IF(ISNUMBER(원자료!U137),원자료!U137,"미확인")</f>
        <v/>
      </c>
      <c r="J137" s="106">
        <f>IF(ISNUMBER(원자료!E137),원자료!E137,"미확인")</f>
        <v/>
      </c>
      <c r="K137" s="133">
        <f>IF(AND(ISNUMBER(I137),ISNUMBER(J137)),IF(I137=0,IF(J137&gt;0,"흑자전환",IF(J137=0,"손익분기","미확인")),IF(I137&lt;0,IF(J137&gt;0,"흑자전환",IF(J137=0,"손익분기","적자지속")),IF(J137&lt;0,"적자전환",IF(J137=0,-1,J137/I137-1)))),"미확인")</f>
        <v/>
      </c>
      <c r="L137" s="134">
        <f>IF(AND(ISNUMBER(E137),ISNUMBER(G137),G137&gt;0),E137/G137,"미산출")</f>
        <v/>
      </c>
      <c r="M137" s="135">
        <f>IF(AND(ISNUMBER(E137),ISNUMBER(J137),J137&gt;0),E137/J137,"미산출")</f>
        <v/>
      </c>
      <c r="N137" s="136">
        <f>IF(ISNUMBER(원자료!O137),원자료!O137,"미확인")</f>
        <v/>
      </c>
      <c r="O137" s="110" t="n"/>
      <c r="P137" s="110" t="n"/>
      <c r="Q137" s="29" t="inlineStr">
        <is>
          <t>추가 / 추정치 미제공</t>
        </is>
      </c>
    </row>
    <row r="138" ht="21.95" customHeight="1">
      <c r="A138" s="18" t="inlineStr">
        <is>
          <t>미산출</t>
        </is>
      </c>
      <c r="B138" s="29" t="inlineStr">
        <is>
          <t>천보</t>
        </is>
      </c>
      <c r="C138" s="105" t="inlineStr">
        <is>
          <t>278280</t>
        </is>
      </c>
      <c r="D138" s="106">
        <f>IF(ISNUMBER(원자료!I138),원자료!I138,"미확인")</f>
        <v/>
      </c>
      <c r="E138" s="106">
        <f>IF(AND(ISNUMBER(D138),ISNUMBER(원자료!J138)),D138*원자료!J138/100000000,"미산출")</f>
        <v/>
      </c>
      <c r="F138" s="107">
        <f>IF(ISNUMBER(원자료!T138),원자료!T138,"미확인")</f>
        <v/>
      </c>
      <c r="G138" s="106">
        <f>IF(ISNUMBER(원자료!D138),원자료!D138,"미확인")</f>
        <v/>
      </c>
      <c r="H138" s="133">
        <f>IF(AND(ISNUMBER(F138),ISNUMBER(G138)),IF(F138=0,IF(G138&gt;0,"흑자전환",IF(G138=0,"손익분기","미확인")),IF(F138&lt;0,IF(G138&gt;0,"흑자전환",IF(G138=0,"손익분기","적자지속")),IF(G138&lt;0,"적자전환",IF(G138=0,-1,G138/F138-1)))),"미확인")</f>
        <v/>
      </c>
      <c r="I138" s="107">
        <f>IF(ISNUMBER(원자료!U138),원자료!U138,"미확인")</f>
        <v/>
      </c>
      <c r="J138" s="106">
        <f>IF(ISNUMBER(원자료!E138),원자료!E138,"미확인")</f>
        <v/>
      </c>
      <c r="K138" s="133">
        <f>IF(AND(ISNUMBER(I138),ISNUMBER(J138)),IF(I138=0,IF(J138&gt;0,"흑자전환",IF(J138=0,"손익분기","미확인")),IF(I138&lt;0,IF(J138&gt;0,"흑자전환",IF(J138=0,"손익분기","적자지속")),IF(J138&lt;0,"적자전환",IF(J138=0,-1,J138/I138-1)))),"미확인")</f>
        <v/>
      </c>
      <c r="L138" s="134">
        <f>IF(AND(ISNUMBER(E138),ISNUMBER(G138),G138&gt;0),E138/G138,"미산출")</f>
        <v/>
      </c>
      <c r="M138" s="135">
        <f>IF(AND(ISNUMBER(E138),ISNUMBER(J138),J138&gt;0),E138/J138,"미산출")</f>
        <v/>
      </c>
      <c r="N138" s="136">
        <f>IF(ISNUMBER(원자료!O138),원자료!O138,"미확인")</f>
        <v/>
      </c>
      <c r="O138" s="110" t="n"/>
      <c r="P138" s="110" t="n"/>
      <c r="Q138" s="29" t="inlineStr">
        <is>
          <t>추가 / 추정치 미제공</t>
        </is>
      </c>
    </row>
    <row r="139" ht="21.95" customHeight="1">
      <c r="A139" s="18" t="inlineStr">
        <is>
          <t>미산출</t>
        </is>
      </c>
      <c r="B139" s="29" t="inlineStr">
        <is>
          <t>삼화콘덴서</t>
        </is>
      </c>
      <c r="C139" s="105" t="inlineStr">
        <is>
          <t>001820</t>
        </is>
      </c>
      <c r="D139" s="106">
        <f>IF(ISNUMBER(원자료!I139),원자료!I139,"미확인")</f>
        <v/>
      </c>
      <c r="E139" s="106">
        <f>IF(AND(ISNUMBER(D139),ISNUMBER(원자료!J139)),D139*원자료!J139/100000000,"미산출")</f>
        <v/>
      </c>
      <c r="F139" s="107">
        <f>IF(ISNUMBER(원자료!T139),원자료!T139,"미확인")</f>
        <v/>
      </c>
      <c r="G139" s="106">
        <f>IF(ISNUMBER(원자료!D139),원자료!D139,"미확인")</f>
        <v/>
      </c>
      <c r="H139" s="133">
        <f>IF(AND(ISNUMBER(F139),ISNUMBER(G139)),IF(F139=0,IF(G139&gt;0,"흑자전환",IF(G139=0,"손익분기","미확인")),IF(F139&lt;0,IF(G139&gt;0,"흑자전환",IF(G139=0,"손익분기","적자지속")),IF(G139&lt;0,"적자전환",IF(G139=0,-1,G139/F139-1)))),"미확인")</f>
        <v/>
      </c>
      <c r="I139" s="107">
        <f>IF(ISNUMBER(원자료!U139),원자료!U139,"미확인")</f>
        <v/>
      </c>
      <c r="J139" s="106">
        <f>IF(ISNUMBER(원자료!E139),원자료!E139,"미확인")</f>
        <v/>
      </c>
      <c r="K139" s="133">
        <f>IF(AND(ISNUMBER(I139),ISNUMBER(J139)),IF(I139=0,IF(J139&gt;0,"흑자전환",IF(J139=0,"손익분기","미확인")),IF(I139&lt;0,IF(J139&gt;0,"흑자전환",IF(J139=0,"손익분기","적자지속")),IF(J139&lt;0,"적자전환",IF(J139=0,-1,J139/I139-1)))),"미확인")</f>
        <v/>
      </c>
      <c r="L139" s="134">
        <f>IF(AND(ISNUMBER(E139),ISNUMBER(G139),G139&gt;0),E139/G139,"미산출")</f>
        <v/>
      </c>
      <c r="M139" s="135">
        <f>IF(AND(ISNUMBER(E139),ISNUMBER(J139),J139&gt;0),E139/J139,"미산출")</f>
        <v/>
      </c>
      <c r="N139" s="136">
        <f>IF(ISNUMBER(원자료!O139),원자료!O139,"미확인")</f>
        <v/>
      </c>
      <c r="O139" s="110" t="n"/>
      <c r="P139" s="110" t="n"/>
      <c r="Q139" s="29" t="inlineStr">
        <is>
          <t>추가 / 추정치 미제공</t>
        </is>
      </c>
    </row>
    <row r="140" ht="21.95" customHeight="1">
      <c r="A140" s="18" t="inlineStr">
        <is>
          <t>미산출</t>
        </is>
      </c>
      <c r="B140" s="29" t="inlineStr">
        <is>
          <t>아바텍</t>
        </is>
      </c>
      <c r="C140" s="105" t="inlineStr">
        <is>
          <t>149950</t>
        </is>
      </c>
      <c r="D140" s="106">
        <f>IF(ISNUMBER(원자료!I140),원자료!I140,"미확인")</f>
        <v/>
      </c>
      <c r="E140" s="106">
        <f>IF(AND(ISNUMBER(D140),ISNUMBER(원자료!J140)),D140*원자료!J140/100000000,"미산출")</f>
        <v/>
      </c>
      <c r="F140" s="107">
        <f>IF(ISNUMBER(원자료!T140),원자료!T140,"미확인")</f>
        <v/>
      </c>
      <c r="G140" s="106">
        <f>IF(ISNUMBER(원자료!D140),원자료!D140,"미확인")</f>
        <v/>
      </c>
      <c r="H140" s="133">
        <f>IF(AND(ISNUMBER(F140),ISNUMBER(G140)),IF(F140=0,IF(G140&gt;0,"흑자전환",IF(G140=0,"손익분기","미확인")),IF(F140&lt;0,IF(G140&gt;0,"흑자전환",IF(G140=0,"손익분기","적자지속")),IF(G140&lt;0,"적자전환",IF(G140=0,-1,G140/F140-1)))),"미확인")</f>
        <v/>
      </c>
      <c r="I140" s="107">
        <f>IF(ISNUMBER(원자료!U140),원자료!U140,"미확인")</f>
        <v/>
      </c>
      <c r="J140" s="106">
        <f>IF(ISNUMBER(원자료!E140),원자료!E140,"미확인")</f>
        <v/>
      </c>
      <c r="K140" s="133">
        <f>IF(AND(ISNUMBER(I140),ISNUMBER(J140)),IF(I140=0,IF(J140&gt;0,"흑자전환",IF(J140=0,"손익분기","미확인")),IF(I140&lt;0,IF(J140&gt;0,"흑자전환",IF(J140=0,"손익분기","적자지속")),IF(J140&lt;0,"적자전환",IF(J140=0,-1,J140/I140-1)))),"미확인")</f>
        <v/>
      </c>
      <c r="L140" s="134">
        <f>IF(AND(ISNUMBER(E140),ISNUMBER(G140),G140&gt;0),E140/G140,"미산출")</f>
        <v/>
      </c>
      <c r="M140" s="135">
        <f>IF(AND(ISNUMBER(E140),ISNUMBER(J140),J140&gt;0),E140/J140,"미산출")</f>
        <v/>
      </c>
      <c r="N140" s="136">
        <f>IF(ISNUMBER(원자료!O140),원자료!O140,"미확인")</f>
        <v/>
      </c>
      <c r="O140" s="110" t="n"/>
      <c r="P140" s="110" t="n"/>
      <c r="Q140" s="29" t="inlineStr">
        <is>
          <t>추가 / 추정치 미제공</t>
        </is>
      </c>
    </row>
    <row r="141" ht="21.95" customHeight="1">
      <c r="A141" s="18" t="inlineStr">
        <is>
          <t>미산출</t>
        </is>
      </c>
      <c r="B141" s="29" t="inlineStr">
        <is>
          <t>대주전자재료</t>
        </is>
      </c>
      <c r="C141" s="105" t="inlineStr">
        <is>
          <t>078600</t>
        </is>
      </c>
      <c r="D141" s="106">
        <f>IF(ISNUMBER(원자료!I141),원자료!I141,"미확인")</f>
        <v/>
      </c>
      <c r="E141" s="106">
        <f>IF(AND(ISNUMBER(D141),ISNUMBER(원자료!J141)),D141*원자료!J141/100000000,"미산출")</f>
        <v/>
      </c>
      <c r="F141" s="107">
        <f>IF(ISNUMBER(원자료!T141),원자료!T141,"미확인")</f>
        <v/>
      </c>
      <c r="G141" s="106">
        <f>IF(ISNUMBER(원자료!D141),원자료!D141,"미확인")</f>
        <v/>
      </c>
      <c r="H141" s="133">
        <f>IF(AND(ISNUMBER(F141),ISNUMBER(G141)),IF(F141=0,IF(G141&gt;0,"흑자전환",IF(G141=0,"손익분기","미확인")),IF(F141&lt;0,IF(G141&gt;0,"흑자전환",IF(G141=0,"손익분기","적자지속")),IF(G141&lt;0,"적자전환",IF(G141=0,-1,G141/F141-1)))),"미확인")</f>
        <v/>
      </c>
      <c r="I141" s="107">
        <f>IF(ISNUMBER(원자료!U141),원자료!U141,"미확인")</f>
        <v/>
      </c>
      <c r="J141" s="106">
        <f>IF(ISNUMBER(원자료!E141),원자료!E141,"미확인")</f>
        <v/>
      </c>
      <c r="K141" s="133">
        <f>IF(AND(ISNUMBER(I141),ISNUMBER(J141)),IF(I141=0,IF(J141&gt;0,"흑자전환",IF(J141=0,"손익분기","미확인")),IF(I141&lt;0,IF(J141&gt;0,"흑자전환",IF(J141=0,"손익분기","적자지속")),IF(J141&lt;0,"적자전환",IF(J141=0,-1,J141/I141-1)))),"미확인")</f>
        <v/>
      </c>
      <c r="L141" s="134">
        <f>IF(AND(ISNUMBER(E141),ISNUMBER(G141),G141&gt;0),E141/G141,"미산출")</f>
        <v/>
      </c>
      <c r="M141" s="135">
        <f>IF(AND(ISNUMBER(E141),ISNUMBER(J141),J141&gt;0),E141/J141,"미산출")</f>
        <v/>
      </c>
      <c r="N141" s="136">
        <f>IF(ISNUMBER(원자료!O141),원자료!O141,"미확인")</f>
        <v/>
      </c>
      <c r="O141" s="110" t="n"/>
      <c r="P141" s="110" t="n"/>
      <c r="Q141" s="29" t="inlineStr">
        <is>
          <t>추가 / 추정치 미제공</t>
        </is>
      </c>
    </row>
    <row r="142" ht="21.95" customHeight="1">
      <c r="A142" s="18" t="inlineStr">
        <is>
          <t>미산출</t>
        </is>
      </c>
      <c r="B142" s="29" t="inlineStr">
        <is>
          <t>코스모신소재</t>
        </is>
      </c>
      <c r="C142" s="105" t="inlineStr">
        <is>
          <t>005070</t>
        </is>
      </c>
      <c r="D142" s="106">
        <f>IF(ISNUMBER(원자료!I142),원자료!I142,"미확인")</f>
        <v/>
      </c>
      <c r="E142" s="106">
        <f>IF(AND(ISNUMBER(D142),ISNUMBER(원자료!J142)),D142*원자료!J142/100000000,"미산출")</f>
        <v/>
      </c>
      <c r="F142" s="107">
        <f>IF(ISNUMBER(원자료!T142),원자료!T142,"미확인")</f>
        <v/>
      </c>
      <c r="G142" s="106">
        <f>IF(ISNUMBER(원자료!D142),원자료!D142,"미확인")</f>
        <v/>
      </c>
      <c r="H142" s="133">
        <f>IF(AND(ISNUMBER(F142),ISNUMBER(G142)),IF(F142=0,IF(G142&gt;0,"흑자전환",IF(G142=0,"손익분기","미확인")),IF(F142&lt;0,IF(G142&gt;0,"흑자전환",IF(G142=0,"손익분기","적자지속")),IF(G142&lt;0,"적자전환",IF(G142=0,-1,G142/F142-1)))),"미확인")</f>
        <v/>
      </c>
      <c r="I142" s="107">
        <f>IF(ISNUMBER(원자료!U142),원자료!U142,"미확인")</f>
        <v/>
      </c>
      <c r="J142" s="106">
        <f>IF(ISNUMBER(원자료!E142),원자료!E142,"미확인")</f>
        <v/>
      </c>
      <c r="K142" s="133">
        <f>IF(AND(ISNUMBER(I142),ISNUMBER(J142)),IF(I142=0,IF(J142&gt;0,"흑자전환",IF(J142=0,"손익분기","미확인")),IF(I142&lt;0,IF(J142&gt;0,"흑자전환",IF(J142=0,"손익분기","적자지속")),IF(J142&lt;0,"적자전환",IF(J142=0,-1,J142/I142-1)))),"미확인")</f>
        <v/>
      </c>
      <c r="L142" s="134">
        <f>IF(AND(ISNUMBER(E142),ISNUMBER(G142),G142&gt;0),E142/G142,"미산출")</f>
        <v/>
      </c>
      <c r="M142" s="135">
        <f>IF(AND(ISNUMBER(E142),ISNUMBER(J142),J142&gt;0),E142/J142,"미산출")</f>
        <v/>
      </c>
      <c r="N142" s="136">
        <f>IF(ISNUMBER(원자료!O142),원자료!O142,"미확인")</f>
        <v/>
      </c>
      <c r="O142" s="110" t="n"/>
      <c r="P142" s="110" t="n"/>
      <c r="Q142" s="29" t="inlineStr">
        <is>
          <t>추가 / 추정치 미제공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2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C10" sqref="C10"/>
    </sheetView>
  </sheetViews>
  <sheetFormatPr baseColWidth="8" defaultRowHeight="14.25"/>
  <cols>
    <col width="23" customWidth="1" min="1" max="1"/>
    <col width="10" customWidth="1" min="2" max="2"/>
    <col width="16" customWidth="1" min="3" max="10"/>
    <col width="30" customWidth="1" min="11" max="11"/>
    <col width="60" customWidth="1" min="12" max="14"/>
    <col width="18" customWidth="1" min="15" max="17"/>
    <col width="60" customWidth="1" min="18" max="18"/>
    <col width="95" customWidth="1" min="19" max="19"/>
    <col width="17" customWidth="1" min="20" max="21"/>
    <col width="16" customWidth="1" min="22" max="22"/>
    <col width="64" customWidth="1" min="23" max="23"/>
    <col width="70" customWidth="1" min="24" max="24"/>
  </cols>
  <sheetData>
    <row r="1" ht="21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.95" customHeight="1">
      <c r="A2" s="1" t="inlineStr">
        <is>
          <t>원표 및 조회 입력값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21.95" customHeight="1">
      <c r="A3" s="1" t="inlineStr">
        <is>
          <t>원표 시총은 조원 단위 반올림을 포함. 재계산에는 사용하지 않음. 추가 종목 순이익은 지배주주 기준.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inlineStr">
        <is>
          <t>27E ROE: 10/14 직접 제공값 79개 대조 일치. 미확인 11개: 자기자본 미확인 7, 출처 불일치 1, 이익 추정도 미확인 3.</t>
        </is>
      </c>
      <c r="P3" s="1" t="n"/>
      <c r="Q3" s="1" t="n"/>
      <c r="R3" s="1" t="n"/>
      <c r="S3" s="1" t="n"/>
      <c r="T3" s="1" t="n"/>
      <c r="U3" s="1" t="n"/>
      <c r="V3" s="1" t="n"/>
    </row>
    <row r="4" ht="21.95" customHeight="1">
      <c r="A4" s="1" t="inlineStr">
        <is>
          <t>2026-10-15 KRX 정규장 종가. 시세 응답의 closePrice 사용. NXT 시간외 overPrice 제외.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inlineStr">
        <is>
          <t>ROE = 2027E 지배주주순이익 ÷ 2026말·2027말 평균 지배주주자본. 별도는 별도 기준. PER/POR 존재만으로 산출 가능하지 않음.</t>
        </is>
      </c>
      <c r="P4" s="1" t="n"/>
      <c r="Q4" s="1" t="n"/>
      <c r="R4" s="1" t="n"/>
      <c r="S4" s="1" t="n"/>
      <c r="T4" s="1" t="n"/>
      <c r="U4" s="1" t="n"/>
      <c r="V4" s="1" t="n"/>
    </row>
    <row r="5" ht="21.9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inlineStr">
        <is>
          <t>기존 원표 이익(10/10)과 ROE(10/14)는 기준일이 다름. 원표 † 순이익과 ROE 지배주주순이익의 기준 차이에 유의. 재검토 사유는 S열.</t>
        </is>
      </c>
      <c r="P5" s="1" t="n"/>
      <c r="Q5" s="1" t="n"/>
      <c r="R5" s="1" t="n"/>
      <c r="S5" s="1" t="n"/>
      <c r="T5" s="1" t="n"/>
      <c r="U5" s="1" t="n"/>
      <c r="V5" s="1" t="n"/>
    </row>
    <row r="6" ht="21.9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 ht="21.9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 ht="21.9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 ht="30" customHeight="1">
      <c r="A9" s="3" t="inlineStr">
        <is>
          <t>종목</t>
        </is>
      </c>
      <c r="B9" s="3" t="inlineStr">
        <is>
          <t>코드</t>
        </is>
      </c>
      <c r="C9" s="3" t="inlineStr">
        <is>
          <t>원표 시총</t>
        </is>
      </c>
      <c r="D9" s="3" t="inlineStr">
        <is>
          <t>27E 순이익</t>
        </is>
      </c>
      <c r="E9" s="3" t="inlineStr">
        <is>
          <t>27E 영업이익</t>
        </is>
      </c>
      <c r="F9" s="3" t="inlineStr">
        <is>
          <t>원표 PER</t>
        </is>
      </c>
      <c r="G9" s="3" t="inlineStr">
        <is>
          <t>원표 POR</t>
        </is>
      </c>
      <c r="H9" s="3" t="inlineStr">
        <is>
          <t>†</t>
        </is>
      </c>
      <c r="I9" s="3" t="inlineStr">
        <is>
          <t>10/15 종가</t>
        </is>
      </c>
      <c r="J9" s="3" t="inlineStr">
        <is>
          <t>상장주식 수</t>
        </is>
      </c>
      <c r="K9" s="3" t="inlineStr">
        <is>
          <t>주가 기준</t>
        </is>
      </c>
      <c r="L9" s="3" t="inlineStr">
        <is>
          <t>실적 출처</t>
        </is>
      </c>
      <c r="M9" s="3" t="inlineStr">
        <is>
          <t>시세 출처</t>
        </is>
      </c>
      <c r="N9" s="3" t="inlineStr">
        <is>
          <t>종가 확인 출처</t>
        </is>
      </c>
      <c r="O9" s="12" t="inlineStr">
        <is>
          <t>27E ROE</t>
        </is>
      </c>
      <c r="P9" s="12" t="inlineStr">
        <is>
          <t>ROE 재무기준</t>
        </is>
      </c>
      <c r="Q9" s="12" t="inlineStr">
        <is>
          <t>ROE 기준일</t>
        </is>
      </c>
      <c r="R9" s="12" t="inlineStr">
        <is>
          <t>ROE 출처</t>
        </is>
      </c>
      <c r="S9" s="14" t="inlineStr">
        <is>
          <t>ROE 재검토 결과 (10/15)</t>
        </is>
      </c>
      <c r="T9" s="16" t="inlineStr">
        <is>
          <t>26E 순이익 (억원)</t>
        </is>
      </c>
      <c r="U9" s="16" t="inlineStr">
        <is>
          <t>26E 영업이익 (억원)</t>
        </is>
      </c>
      <c r="V9" s="16" t="inlineStr">
        <is>
          <t>26E 회계기준</t>
        </is>
      </c>
      <c r="W9" s="16" t="inlineStr">
        <is>
          <t>26E 출처 (10/14)</t>
        </is>
      </c>
      <c r="X9" s="16" t="inlineStr">
        <is>
          <t>27E 추정치 교차점검</t>
        </is>
      </c>
    </row>
    <row r="10" ht="21.95" customHeight="1">
      <c r="A10" s="4" t="inlineStr">
        <is>
          <t>삼성전자</t>
        </is>
      </c>
      <c r="B10" s="137" t="inlineStr">
        <is>
          <t>005930</t>
        </is>
      </c>
      <c r="C10" s="138" t="n">
        <v>14640000</v>
      </c>
      <c r="D10" s="138" t="n">
        <v>4500000</v>
      </c>
      <c r="E10" s="138" t="n">
        <v>5550000</v>
      </c>
      <c r="F10" s="138" t="n">
        <v>3.3</v>
      </c>
      <c r="G10" s="138" t="n">
        <v>2.6</v>
      </c>
      <c r="H10" s="6" t="n"/>
      <c r="I10" s="7" t="n">
        <v>207500</v>
      </c>
      <c r="J10" s="7" t="n">
        <v>5846278608</v>
      </c>
      <c r="K10" s="9" t="inlineStr">
        <is>
          <t>2026-10-15 정규장 종가</t>
        </is>
      </c>
      <c r="L10" s="4" t="inlineStr">
        <is>
          <t>사용자 첨부 IMG_7104~7108 / 원문 https://m.blog.naver.com/stockvera/224440085158</t>
        </is>
      </c>
      <c r="M10" s="4" t="inlineStr">
        <is>
          <t>https://polling.finance.naver.com/api/realtime/domestic/stock/005930</t>
        </is>
      </c>
      <c r="N10" s="4" t="inlineStr">
        <is>
          <t>https://polling.finance.naver.com/api/realtime/domestic/stock/005930</t>
        </is>
      </c>
      <c r="O10" s="139" t="n">
        <v>0.5032</v>
      </c>
      <c r="P10" s="4" t="inlineStr">
        <is>
          <t>IFRS연결</t>
        </is>
      </c>
      <c r="Q10" s="4" t="inlineStr">
        <is>
          <t>2026-10-14</t>
        </is>
      </c>
      <c r="R10" s="4" t="inlineStr">
        <is>
          <t>https://comp.wisereport.co.kr/company/ajax/c1050001_data.aspx?flag=2&amp;cmp_cd=005930&amp;finGubun=MAIN&amp;frq=0&amp;sDT=20261014&amp;chartType=image</t>
        </is>
      </c>
      <c r="S10" s="13" t="inlineStr">
        <is>
          <t>2027.12(E) ROE 직접 제공값과 대조 일치. 백분율 단위·종목코드 확인.</t>
        </is>
      </c>
      <c r="T10" s="140" t="n">
        <v>3036390.95</v>
      </c>
      <c r="U10" s="140" t="n">
        <v>3716393.43</v>
      </c>
      <c r="V10" s="4" t="inlineStr">
        <is>
          <t>IFRS연결</t>
        </is>
      </c>
      <c r="W10" s="15" t="inlineStr">
        <is>
          <t>https://comp.wisereport.co.kr/company/ajax/c1050001_data.aspx?flag=2&amp;cmp_cd=005930&amp;finGubun=MAIN&amp;frq=0&amp;sDT=20261014&amp;chartType=image</t>
        </is>
      </c>
      <c r="X10" s="15" t="inlineStr">
        <is>
          <t>27E 원표와 FnGuide 차이 10% 이내 또는 비교 자료 없음</t>
        </is>
      </c>
    </row>
    <row r="11" ht="21.95" customHeight="1">
      <c r="A11" s="4" t="inlineStr">
        <is>
          <t>SK하이닉스</t>
        </is>
      </c>
      <c r="B11" s="137" t="inlineStr">
        <is>
          <t>000660</t>
        </is>
      </c>
      <c r="C11" s="138" t="n">
        <v>11720000</v>
      </c>
      <c r="D11" s="138" t="n">
        <v>3260000</v>
      </c>
      <c r="E11" s="138" t="n">
        <v>4020000</v>
      </c>
      <c r="F11" s="138" t="n">
        <v>3.6</v>
      </c>
      <c r="G11" s="138" t="n">
        <v>2.9</v>
      </c>
      <c r="H11" s="6" t="n"/>
      <c r="I11" s="7" t="n">
        <v>1238000</v>
      </c>
      <c r="J11" s="7" t="n">
        <v>730492365</v>
      </c>
      <c r="K11" s="9" t="inlineStr">
        <is>
          <t>2026-10-15 정규장 종가</t>
        </is>
      </c>
      <c r="L11" s="4" t="inlineStr">
        <is>
          <t>사용자 첨부 IMG_7104~7108 / 원문 https://m.blog.naver.com/stockvera/224440085158</t>
        </is>
      </c>
      <c r="M11" s="4" t="inlineStr">
        <is>
          <t>https://polling.finance.naver.com/api/realtime/domestic/stock/000660</t>
        </is>
      </c>
      <c r="N11" s="4" t="inlineStr">
        <is>
          <t>https://polling.finance.naver.com/api/realtime/domestic/stock/000660</t>
        </is>
      </c>
      <c r="O11" s="139" t="n">
        <v>0.6211</v>
      </c>
      <c r="P11" s="4" t="inlineStr">
        <is>
          <t>IFRS연결</t>
        </is>
      </c>
      <c r="Q11" s="4" t="inlineStr">
        <is>
          <t>2026-10-14</t>
        </is>
      </c>
      <c r="R11" s="4" t="inlineStr">
        <is>
          <t>https://comp.wisereport.co.kr/company/ajax/c1050001_data.aspx?flag=2&amp;cmp_cd=000660&amp;finGubun=MAIN&amp;frq=0&amp;sDT=20261014&amp;chartType=image</t>
        </is>
      </c>
      <c r="S11" s="13" t="inlineStr">
        <is>
          <t>2027.12(E) ROE 직접 제공값과 대조 일치. 백분율 단위·종목코드 확인.</t>
        </is>
      </c>
      <c r="T11" s="140" t="n">
        <v>2557448.67</v>
      </c>
      <c r="U11" s="140" t="n">
        <v>2625689.81</v>
      </c>
      <c r="V11" s="4" t="inlineStr">
        <is>
          <t>IFRS연결</t>
        </is>
      </c>
      <c r="W11" s="15" t="inlineStr">
        <is>
          <t>https://comp.wisereport.co.kr/company/ajax/c1050001_data.aspx?flag=2&amp;cmp_cd=000660&amp;finGubun=MAIN&amp;frq=0&amp;sDT=20261014&amp;chartType=image</t>
        </is>
      </c>
      <c r="X11" s="15" t="inlineStr">
        <is>
          <t>27E 원표와 FnGuide 차이 10% 이내 또는 비교 자료 없음</t>
        </is>
      </c>
    </row>
    <row r="12" ht="60" customHeight="1">
      <c r="A12" s="4" t="inlineStr">
        <is>
          <t>엠케이전자</t>
        </is>
      </c>
      <c r="B12" s="137" t="inlineStr">
        <is>
          <t>033160</t>
        </is>
      </c>
      <c r="C12" s="138" t="n">
        <v>4618</v>
      </c>
      <c r="D12" s="138" t="n">
        <v>1079</v>
      </c>
      <c r="E12" s="138" t="n">
        <v>1744</v>
      </c>
      <c r="F12" s="138" t="n">
        <v>4.3</v>
      </c>
      <c r="G12" s="138" t="n">
        <v>2.6</v>
      </c>
      <c r="H12" s="6" t="inlineStr">
        <is>
          <t>†</t>
        </is>
      </c>
      <c r="I12" s="7" t="n">
        <v>14690</v>
      </c>
      <c r="J12" s="7" t="n">
        <v>24564058</v>
      </c>
      <c r="K12" s="9" t="inlineStr">
        <is>
          <t>2026-10-15 정규장 종가</t>
        </is>
      </c>
      <c r="L12" s="4" t="inlineStr">
        <is>
          <t>사용자 첨부 IMG_7104~7108 / 원문 https://m.blog.naver.com/stockvera/224440085158</t>
        </is>
      </c>
      <c r="M12" s="4" t="inlineStr">
        <is>
          <t>https://polling.finance.naver.com/api/realtime/domestic/stock/033160</t>
        </is>
      </c>
      <c r="N12" s="4" t="inlineStr">
        <is>
          <t>https://polling.finance.naver.com/api/realtime/domestic/stock/033160</t>
        </is>
      </c>
      <c r="O12" s="139" t="inlineStr">
        <is>
          <t>미확인</t>
        </is>
      </c>
      <c r="P12" s="4" t="inlineStr">
        <is>
          <t>IFRS연결</t>
        </is>
      </c>
      <c r="Q12" s="4" t="inlineStr">
        <is>
          <t>2026-10-14</t>
        </is>
      </c>
      <c r="R12" s="4" t="inlineStr">
        <is>
          <t>https://comp.wisereport.co.kr/company/ajax/c1050001_data.aspx?flag=2&amp;cmp_cd=033160&amp;finGubun=MAIN&amp;frq=0&amp;sDT=20261014&amp;chartType=image</t>
        </is>
      </c>
      <c r="S12" s="13" t="inlineStr">
        <is>
          <t>2027년 이익 추정치는 있으나 2026/2027 BPS·ROE 미제공. 평균 예상 자기자본 미확인으로 계산 보류. 주재무·연결·별도 및 기업현황 화면 재조회. 별도 ROE 21.64%는 확인되나 연결 기준과 달라 대체하지 않음.</t>
        </is>
      </c>
      <c r="T12" s="140" t="n">
        <v>647.5</v>
      </c>
      <c r="U12" s="140" t="n">
        <v>1077.33</v>
      </c>
      <c r="V12" s="4" t="inlineStr">
        <is>
          <t>IFRS연결</t>
        </is>
      </c>
      <c r="W12" s="15" t="inlineStr">
        <is>
          <t>https://comp.wisereport.co.kr/company/ajax/c1050001_data.aspx?flag=2&amp;cmp_cd=033160&amp;finGubun=MAIN&amp;frq=0&amp;sDT=20261014&amp;chartType=image</t>
        </is>
      </c>
      <c r="X12" s="15" t="inlineStr">
        <is>
          <t>순이익: 기존 27E 1,079.00억원 vs FnGuide 849.00억원 (-21.3%); 영업이익: 기존 27E 1,744.00억원 vs FnGuide 1,559.00억원 (-10.6%)</t>
        </is>
      </c>
    </row>
    <row r="13" ht="21.95" customHeight="1">
      <c r="A13" s="4" t="inlineStr">
        <is>
          <t>세보엠이씨</t>
        </is>
      </c>
      <c r="B13" s="137" t="inlineStr">
        <is>
          <t>011560</t>
        </is>
      </c>
      <c r="C13" s="138" t="n">
        <v>2123</v>
      </c>
      <c r="D13" s="138" t="n">
        <v>491</v>
      </c>
      <c r="E13" s="138" t="n">
        <v>580</v>
      </c>
      <c r="F13" s="138" t="n">
        <v>4.3</v>
      </c>
      <c r="G13" s="138" t="n">
        <v>3.7</v>
      </c>
      <c r="H13" s="6" t="n"/>
      <c r="I13" s="7" t="n">
        <v>19930</v>
      </c>
      <c r="J13" s="7" t="n">
        <v>10084872</v>
      </c>
      <c r="K13" s="9" t="inlineStr">
        <is>
          <t>2026-10-15 정규장 종가</t>
        </is>
      </c>
      <c r="L13" s="4" t="inlineStr">
        <is>
          <t>사용자 첨부 IMG_7104~7108 / 원문 https://m.blog.naver.com/stockvera/224440085158</t>
        </is>
      </c>
      <c r="M13" s="4" t="inlineStr">
        <is>
          <t>https://polling.finance.naver.com/api/realtime/domestic/stock/011560</t>
        </is>
      </c>
      <c r="N13" s="4" t="inlineStr">
        <is>
          <t>https://polling.finance.naver.com/api/realtime/domestic/stock/011560</t>
        </is>
      </c>
      <c r="O13" s="139" t="n">
        <v>0.1475</v>
      </c>
      <c r="P13" s="4" t="inlineStr">
        <is>
          <t>IFRS연결</t>
        </is>
      </c>
      <c r="Q13" s="4" t="inlineStr">
        <is>
          <t>2026-10-14</t>
        </is>
      </c>
      <c r="R13" s="4" t="inlineStr">
        <is>
          <t>https://comp.wisereport.co.kr/company/ajax/c1050001_data.aspx?flag=2&amp;cmp_cd=011560&amp;finGubun=MAIN&amp;frq=0&amp;sDT=20261014&amp;chartType=image</t>
        </is>
      </c>
      <c r="S13" s="13" t="inlineStr">
        <is>
          <t>2027.12(E) ROE 직접 제공값과 대조 일치. 백분율 단위·종목코드 확인.</t>
        </is>
      </c>
      <c r="T13" s="140" t="n">
        <v>471</v>
      </c>
      <c r="U13" s="140" t="n">
        <v>559</v>
      </c>
      <c r="V13" s="4" t="inlineStr">
        <is>
          <t>IFRS연결</t>
        </is>
      </c>
      <c r="W13" s="15" t="inlineStr">
        <is>
          <t>https://comp.wisereport.co.kr/company/ajax/c1050001_data.aspx?flag=2&amp;cmp_cd=011560&amp;finGubun=MAIN&amp;frq=0&amp;sDT=20261014&amp;chartType=image</t>
        </is>
      </c>
      <c r="X13" s="15" t="inlineStr">
        <is>
          <t>27E 원표와 FnGuide 차이 10% 이내 또는 비교 자료 없음</t>
        </is>
      </c>
    </row>
    <row r="14" ht="60" customHeight="1">
      <c r="A14" s="4" t="inlineStr">
        <is>
          <t>케이씨</t>
        </is>
      </c>
      <c r="B14" s="137" t="inlineStr">
        <is>
          <t>029460</t>
        </is>
      </c>
      <c r="C14" s="138" t="n">
        <v>4953</v>
      </c>
      <c r="D14" s="138" t="n">
        <v>830</v>
      </c>
      <c r="E14" s="138" t="n">
        <v>973</v>
      </c>
      <c r="F14" s="138" t="n">
        <v>6</v>
      </c>
      <c r="G14" s="138" t="n">
        <v>5.1</v>
      </c>
      <c r="H14" s="6" t="n"/>
      <c r="I14" s="7" t="n">
        <v>36800</v>
      </c>
      <c r="J14" s="7" t="n">
        <v>11020535</v>
      </c>
      <c r="K14" s="9" t="inlineStr">
        <is>
          <t>2026-10-15 정규장 종가</t>
        </is>
      </c>
      <c r="L14" s="4" t="inlineStr">
        <is>
          <t>사용자 첨부 IMG_7104~7108 / 원문 https://m.blog.naver.com/stockvera/224440085158</t>
        </is>
      </c>
      <c r="M14" s="4" t="inlineStr">
        <is>
          <t>https://polling.finance.naver.com/api/realtime/domestic/stock/029460</t>
        </is>
      </c>
      <c r="N14" s="4" t="inlineStr">
        <is>
          <t>https://polling.finance.naver.com/api/realtime/domestic/stock/029460</t>
        </is>
      </c>
      <c r="O14" s="139" t="inlineStr">
        <is>
          <t>미확인</t>
        </is>
      </c>
      <c r="P14" s="4" t="inlineStr">
        <is>
          <t>IFRS연결</t>
        </is>
      </c>
      <c r="Q14" s="4" t="inlineStr">
        <is>
          <t>2026-10-14</t>
        </is>
      </c>
      <c r="R14" s="4" t="inlineStr">
        <is>
          <t>https://comp.wisereport.co.kr/company/ajax/c1050001_data.aspx?flag=2&amp;cmp_cd=029460&amp;finGubun=MAIN&amp;frq=0&amp;sDT=20261014&amp;chartType=image</t>
        </is>
      </c>
      <c r="S14" s="13" t="inlineStr">
        <is>
          <t>2027년 이익 추정치는 있으나 2026/2027 BPS·ROE 미제공. 평균 예상 자기자본 미확인으로 계산 보류. 주재무·연결·별도 및 기업현황 화면 재조회.</t>
        </is>
      </c>
      <c r="T14" s="140" t="n">
        <v>740</v>
      </c>
      <c r="U14" s="140" t="n">
        <v>756</v>
      </c>
      <c r="V14" s="4" t="inlineStr">
        <is>
          <t>IFRS연결</t>
        </is>
      </c>
      <c r="W14" s="15" t="inlineStr">
        <is>
          <t>https://comp.wisereport.co.kr/company/ajax/c1050001_data.aspx?flag=2&amp;cmp_cd=029460&amp;finGubun=MAIN&amp;frq=0&amp;sDT=20261014&amp;chartType=image</t>
        </is>
      </c>
      <c r="X14" s="15" t="inlineStr">
        <is>
          <t>27E 원표와 FnGuide 차이 10% 이내 또는 비교 자료 없음</t>
        </is>
      </c>
    </row>
    <row r="15" ht="21.95" customHeight="1">
      <c r="A15" s="4" t="inlineStr">
        <is>
          <t>에프엔에스테크</t>
        </is>
      </c>
      <c r="B15" s="137" t="inlineStr">
        <is>
          <t>083500</t>
        </is>
      </c>
      <c r="C15" s="138" t="n">
        <v>1251</v>
      </c>
      <c r="D15" s="138" t="n">
        <v>195</v>
      </c>
      <c r="E15" s="138" t="n">
        <v>288</v>
      </c>
      <c r="F15" s="138" t="n">
        <v>6.4</v>
      </c>
      <c r="G15" s="138" t="n">
        <v>4.3</v>
      </c>
      <c r="H15" s="6" t="inlineStr">
        <is>
          <t>†</t>
        </is>
      </c>
      <c r="I15" s="7" t="n">
        <v>13050</v>
      </c>
      <c r="J15" s="7" t="n">
        <v>8306377</v>
      </c>
      <c r="K15" s="9" t="inlineStr">
        <is>
          <t>2026-10-15 정규장 종가</t>
        </is>
      </c>
      <c r="L15" s="4" t="inlineStr">
        <is>
          <t>사용자 첨부 IMG_7104~7108 / 원문 https://m.blog.naver.com/stockvera/224440085158</t>
        </is>
      </c>
      <c r="M15" s="4" t="inlineStr">
        <is>
          <t>https://polling.finance.naver.com/api/realtime/domestic/stock/083500</t>
        </is>
      </c>
      <c r="N15" s="4" t="inlineStr">
        <is>
          <t>https://polling.finance.naver.com/api/realtime/domestic/stock/083500</t>
        </is>
      </c>
      <c r="O15" s="139" t="n">
        <v>0.1884</v>
      </c>
      <c r="P15" s="4" t="inlineStr">
        <is>
          <t>IFRS연결</t>
        </is>
      </c>
      <c r="Q15" s="4" t="inlineStr">
        <is>
          <t>2026-10-14</t>
        </is>
      </c>
      <c r="R15" s="4" t="inlineStr">
        <is>
          <t>https://comp.wisereport.co.kr/company/ajax/c1050001_data.aspx?flag=2&amp;cmp_cd=083500&amp;finGubun=MAIN&amp;frq=0&amp;sDT=20261014&amp;chartType=image</t>
        </is>
      </c>
      <c r="S15" s="13" t="inlineStr">
        <is>
          <t>2027.12(E) ROE 직접 제공값과 대조 일치. 백분율 단위·종목코드 확인.</t>
        </is>
      </c>
      <c r="T15" s="140" t="n">
        <v>116</v>
      </c>
      <c r="U15" s="140" t="n">
        <v>161</v>
      </c>
      <c r="V15" s="4" t="inlineStr">
        <is>
          <t>IFRS연결</t>
        </is>
      </c>
      <c r="W15" s="15" t="inlineStr">
        <is>
          <t>https://comp.wisereport.co.kr/company/ajax/c1050001_data.aspx?flag=2&amp;cmp_cd=083500&amp;finGubun=MAIN&amp;frq=0&amp;sDT=20261014&amp;chartType=image</t>
        </is>
      </c>
      <c r="X15" s="15" t="inlineStr">
        <is>
          <t>27E 원표와 FnGuide 차이 10% 이내 또는 비교 자료 없음</t>
        </is>
      </c>
    </row>
    <row r="16" ht="21.95" customHeight="1">
      <c r="A16" s="4" t="inlineStr">
        <is>
          <t>원익머트리얼즈</t>
        </is>
      </c>
      <c r="B16" s="137" t="inlineStr">
        <is>
          <t>104830</t>
        </is>
      </c>
      <c r="C16" s="138" t="n">
        <v>5125</v>
      </c>
      <c r="D16" s="138" t="n">
        <v>772</v>
      </c>
      <c r="E16" s="138" t="n">
        <v>931</v>
      </c>
      <c r="F16" s="138" t="n">
        <v>6.6</v>
      </c>
      <c r="G16" s="138" t="n">
        <v>5.5</v>
      </c>
      <c r="H16" s="6" t="n"/>
      <c r="I16" s="7" t="n">
        <v>36150</v>
      </c>
      <c r="J16" s="7" t="n">
        <v>12608000</v>
      </c>
      <c r="K16" s="9" t="inlineStr">
        <is>
          <t>2026-10-15 정규장 종가</t>
        </is>
      </c>
      <c r="L16" s="4" t="inlineStr">
        <is>
          <t>사용자 첨부 IMG_7104~7108 / 원문 https://m.blog.naver.com/stockvera/224440085158</t>
        </is>
      </c>
      <c r="M16" s="4" t="inlineStr">
        <is>
          <t>https://polling.finance.naver.com/api/realtime/domestic/stock/104830</t>
        </is>
      </c>
      <c r="N16" s="4" t="inlineStr">
        <is>
          <t>https://polling.finance.naver.com/api/realtime/domestic/stock/104830</t>
        </is>
      </c>
      <c r="O16" s="139" t="n">
        <v>0.1261</v>
      </c>
      <c r="P16" s="4" t="inlineStr">
        <is>
          <t>IFRS연결</t>
        </is>
      </c>
      <c r="Q16" s="4" t="inlineStr">
        <is>
          <t>2026-10-14</t>
        </is>
      </c>
      <c r="R16" s="4" t="inlineStr">
        <is>
          <t>https://comp.wisereport.co.kr/company/ajax/c1050001_data.aspx?flag=2&amp;cmp_cd=104830&amp;finGubun=MAIN&amp;frq=0&amp;sDT=20261014&amp;chartType=image</t>
        </is>
      </c>
      <c r="S16" s="13" t="inlineStr">
        <is>
          <t>2027.12(E) ROE 직접 제공값과 대조 일치. 백분율 단위·종목코드 확인.</t>
        </is>
      </c>
      <c r="T16" s="140" t="n">
        <v>589.67</v>
      </c>
      <c r="U16" s="140" t="n">
        <v>679</v>
      </c>
      <c r="V16" s="4" t="inlineStr">
        <is>
          <t>IFRS연결</t>
        </is>
      </c>
      <c r="W16" s="15" t="inlineStr">
        <is>
          <t>https://comp.wisereport.co.kr/company/ajax/c1050001_data.aspx?flag=2&amp;cmp_cd=104830&amp;finGubun=MAIN&amp;frq=0&amp;sDT=20261014&amp;chartType=image</t>
        </is>
      </c>
      <c r="X16" s="15" t="inlineStr">
        <is>
          <t>27E 원표와 FnGuide 차이 10% 이내 또는 비교 자료 없음</t>
        </is>
      </c>
    </row>
    <row r="17" ht="21.95" customHeight="1">
      <c r="A17" s="4" t="inlineStr">
        <is>
          <t>케이엔제이</t>
        </is>
      </c>
      <c r="B17" s="137" t="inlineStr">
        <is>
          <t>272110</t>
        </is>
      </c>
      <c r="C17" s="138" t="n">
        <v>2568</v>
      </c>
      <c r="D17" s="138" t="n">
        <v>366</v>
      </c>
      <c r="E17" s="138" t="n">
        <v>444</v>
      </c>
      <c r="F17" s="138" t="n">
        <v>7</v>
      </c>
      <c r="G17" s="138" t="n">
        <v>5.8</v>
      </c>
      <c r="H17" s="6" t="n"/>
      <c r="I17" s="7" t="n">
        <v>25050</v>
      </c>
      <c r="J17" s="7" t="n">
        <v>8025395</v>
      </c>
      <c r="K17" s="9" t="inlineStr">
        <is>
          <t>2026-10-15 정규장 종가</t>
        </is>
      </c>
      <c r="L17" s="4" t="inlineStr">
        <is>
          <t>사용자 첨부 IMG_7104~7108 / 원문 https://m.blog.naver.com/stockvera/224440085158</t>
        </is>
      </c>
      <c r="M17" s="4" t="inlineStr">
        <is>
          <t>https://polling.finance.naver.com/api/realtime/domestic/stock/272110</t>
        </is>
      </c>
      <c r="N17" s="4" t="inlineStr">
        <is>
          <t>https://polling.finance.naver.com/api/realtime/domestic/stock/272110</t>
        </is>
      </c>
      <c r="O17" s="139" t="n">
        <v>0.2633</v>
      </c>
      <c r="P17" s="4" t="inlineStr">
        <is>
          <t>IFRS연결</t>
        </is>
      </c>
      <c r="Q17" s="4" t="inlineStr">
        <is>
          <t>2026-10-14</t>
        </is>
      </c>
      <c r="R17" s="4" t="inlineStr">
        <is>
          <t>https://comp.wisereport.co.kr/company/ajax/c1050001_data.aspx?flag=2&amp;cmp_cd=272110&amp;finGubun=MAIN&amp;frq=0&amp;sDT=20261014&amp;chartType=image</t>
        </is>
      </c>
      <c r="S17" s="13" t="inlineStr">
        <is>
          <t>2027.12(E) ROE 직접 제공값과 대조 일치. 백분율 단위·종목코드 확인.</t>
        </is>
      </c>
      <c r="T17" s="140" t="n">
        <v>250</v>
      </c>
      <c r="U17" s="140" t="n">
        <v>312</v>
      </c>
      <c r="V17" s="4" t="inlineStr">
        <is>
          <t>IFRS연결</t>
        </is>
      </c>
      <c r="W17" s="15" t="inlineStr">
        <is>
          <t>https://comp.wisereport.co.kr/company/ajax/c1050001_data.aspx?flag=2&amp;cmp_cd=272110&amp;finGubun=MAIN&amp;frq=0&amp;sDT=20261014&amp;chartType=image</t>
        </is>
      </c>
      <c r="X17" s="15" t="inlineStr">
        <is>
          <t>27E 원표와 FnGuide 차이 10% 이내 또는 비교 자료 없음</t>
        </is>
      </c>
    </row>
    <row r="18" ht="21.95" customHeight="1">
      <c r="A18" s="4" t="inlineStr">
        <is>
          <t>지앤비에스 에코</t>
        </is>
      </c>
      <c r="B18" s="137" t="inlineStr">
        <is>
          <t>382800</t>
        </is>
      </c>
      <c r="C18" s="138" t="n">
        <v>2060</v>
      </c>
      <c r="D18" s="138" t="n">
        <v>278</v>
      </c>
      <c r="E18" s="138" t="n">
        <v>322</v>
      </c>
      <c r="F18" s="138" t="n">
        <v>7.4</v>
      </c>
      <c r="G18" s="138" t="n">
        <v>6.4</v>
      </c>
      <c r="H18" s="6" t="n"/>
      <c r="I18" s="7" t="n">
        <v>5240</v>
      </c>
      <c r="J18" s="7" t="n">
        <v>31831041</v>
      </c>
      <c r="K18" s="9" t="inlineStr">
        <is>
          <t>2026-10-15 정규장 종가</t>
        </is>
      </c>
      <c r="L18" s="4" t="inlineStr">
        <is>
          <t>사용자 첨부 IMG_7104~7108 / 원문 https://m.blog.naver.com/stockvera/224440085158</t>
        </is>
      </c>
      <c r="M18" s="4" t="inlineStr">
        <is>
          <t>https://polling.finance.naver.com/api/realtime/domestic/stock/382800</t>
        </is>
      </c>
      <c r="N18" s="4" t="inlineStr">
        <is>
          <t>https://polling.finance.naver.com/api/realtime/domestic/stock/382800</t>
        </is>
      </c>
      <c r="O18" s="139" t="n">
        <v>0.1858</v>
      </c>
      <c r="P18" s="4" t="inlineStr">
        <is>
          <t>IFRS연결</t>
        </is>
      </c>
      <c r="Q18" s="4" t="inlineStr">
        <is>
          <t>2026-10-14</t>
        </is>
      </c>
      <c r="R18" s="4" t="inlineStr">
        <is>
          <t>https://comp.wisereport.co.kr/company/ajax/c1050001_data.aspx?flag=2&amp;cmp_cd=382800&amp;finGubun=MAIN&amp;frq=0&amp;sDT=20261014&amp;chartType=image</t>
        </is>
      </c>
      <c r="S18" s="13" t="inlineStr">
        <is>
          <t>2027.12(E) ROE 직접 제공값과 대조 일치. 백분율 단위·종목코드 확인.</t>
        </is>
      </c>
      <c r="T18" s="140" t="n">
        <v>242.33</v>
      </c>
      <c r="U18" s="140" t="n">
        <v>265</v>
      </c>
      <c r="V18" s="4" t="inlineStr">
        <is>
          <t>IFRS연결</t>
        </is>
      </c>
      <c r="W18" s="15" t="inlineStr">
        <is>
          <t>https://comp.wisereport.co.kr/company/ajax/c1050001_data.aspx?flag=2&amp;cmp_cd=382800&amp;finGubun=MAIN&amp;frq=0&amp;sDT=20261014&amp;chartType=image</t>
        </is>
      </c>
      <c r="X18" s="15" t="inlineStr">
        <is>
          <t>27E 원표와 FnGuide 차이 10% 이내 또는 비교 자료 없음</t>
        </is>
      </c>
    </row>
    <row r="19" ht="21.95" customHeight="1">
      <c r="A19" s="4" t="inlineStr">
        <is>
          <t>유니테스트</t>
        </is>
      </c>
      <c r="B19" s="137" t="inlineStr">
        <is>
          <t>086390</t>
        </is>
      </c>
      <c r="C19" s="138" t="n">
        <v>2868</v>
      </c>
      <c r="D19" s="138" t="n">
        <v>369</v>
      </c>
      <c r="E19" s="138" t="n">
        <v>460</v>
      </c>
      <c r="F19" s="138" t="n">
        <v>7.8</v>
      </c>
      <c r="G19" s="138" t="n">
        <v>6.2</v>
      </c>
      <c r="H19" s="6" t="n"/>
      <c r="I19" s="7" t="n">
        <v>10190</v>
      </c>
      <c r="J19" s="7" t="n">
        <v>21134126</v>
      </c>
      <c r="K19" s="9" t="inlineStr">
        <is>
          <t>2026-10-15 정규장 종가</t>
        </is>
      </c>
      <c r="L19" s="4" t="inlineStr">
        <is>
          <t>사용자 첨부 IMG_7104~7108 / 원문 https://m.blog.naver.com/stockvera/224440085158</t>
        </is>
      </c>
      <c r="M19" s="4" t="inlineStr">
        <is>
          <t>https://polling.finance.naver.com/api/realtime/domestic/stock/086390</t>
        </is>
      </c>
      <c r="N19" s="4" t="inlineStr">
        <is>
          <t>https://polling.finance.naver.com/api/realtime/domestic/stock/086390</t>
        </is>
      </c>
      <c r="O19" s="139" t="n">
        <v>0.2771</v>
      </c>
      <c r="P19" s="4" t="inlineStr">
        <is>
          <t>IFRS연결</t>
        </is>
      </c>
      <c r="Q19" s="4" t="inlineStr">
        <is>
          <t>2026-10-14</t>
        </is>
      </c>
      <c r="R19" s="4" t="inlineStr">
        <is>
          <t>https://comp.wisereport.co.kr/company/ajax/c1050001_data.aspx?flag=2&amp;cmp_cd=086390&amp;finGubun=MAIN&amp;frq=0&amp;sDT=20261014&amp;chartType=image</t>
        </is>
      </c>
      <c r="S19" s="13" t="inlineStr">
        <is>
          <t>2027.12(E) ROE 직접 제공값과 대조 일치. 백분율 단위·종목코드 확인.</t>
        </is>
      </c>
      <c r="T19" s="140" t="n">
        <v>195.75</v>
      </c>
      <c r="U19" s="140" t="n">
        <v>218.7</v>
      </c>
      <c r="V19" s="4" t="inlineStr">
        <is>
          <t>IFRS연결</t>
        </is>
      </c>
      <c r="W19" s="15" t="inlineStr">
        <is>
          <t>https://comp.wisereport.co.kr/company/ajax/c1050001_data.aspx?flag=2&amp;cmp_cd=086390&amp;finGubun=MAIN&amp;frq=0&amp;sDT=20261014&amp;chartType=image</t>
        </is>
      </c>
      <c r="X19" s="15" t="inlineStr">
        <is>
          <t>27E 원표와 FnGuide 차이 10% 이내 또는 비교 자료 없음</t>
        </is>
      </c>
    </row>
    <row r="20" ht="21.95" customHeight="1">
      <c r="A20" s="4" t="inlineStr">
        <is>
          <t>이엔에프테크놀로지</t>
        </is>
      </c>
      <c r="B20" s="137" t="inlineStr">
        <is>
          <t>102710</t>
        </is>
      </c>
      <c r="C20" s="138" t="n">
        <v>6987</v>
      </c>
      <c r="D20" s="138" t="n">
        <v>873</v>
      </c>
      <c r="E20" s="138" t="n">
        <v>1223</v>
      </c>
      <c r="F20" s="138" t="n">
        <v>8</v>
      </c>
      <c r="G20" s="138" t="n">
        <v>5.7</v>
      </c>
      <c r="H20" s="6" t="n"/>
      <c r="I20" s="7" t="n">
        <v>41050</v>
      </c>
      <c r="J20" s="7" t="n">
        <v>14287836</v>
      </c>
      <c r="K20" s="9" t="inlineStr">
        <is>
          <t>2026-10-15 정규장 종가</t>
        </is>
      </c>
      <c r="L20" s="4" t="inlineStr">
        <is>
          <t>사용자 첨부 IMG_7104~7108 / 원문 https://m.blog.naver.com/stockvera/224440085158</t>
        </is>
      </c>
      <c r="M20" s="4" t="inlineStr">
        <is>
          <t>https://polling.finance.naver.com/api/realtime/domestic/stock/102710</t>
        </is>
      </c>
      <c r="N20" s="4" t="inlineStr">
        <is>
          <t>https://polling.finance.naver.com/api/realtime/domestic/stock/102710</t>
        </is>
      </c>
      <c r="O20" s="139" t="n">
        <v>0.1584</v>
      </c>
      <c r="P20" s="4" t="inlineStr">
        <is>
          <t>IFRS연결</t>
        </is>
      </c>
      <c r="Q20" s="4" t="inlineStr">
        <is>
          <t>2026-10-14</t>
        </is>
      </c>
      <c r="R20" s="4" t="inlineStr">
        <is>
          <t>https://comp.wisereport.co.kr/company/ajax/c1050001_data.aspx?flag=2&amp;cmp_cd=102710&amp;finGubun=MAIN&amp;frq=0&amp;sDT=20261014&amp;chartType=image</t>
        </is>
      </c>
      <c r="S20" s="13" t="inlineStr">
        <is>
          <t>2027.12(E) ROE 직접 제공값과 대조 일치. 백분율 단위·종목코드 확인.</t>
        </is>
      </c>
      <c r="T20" s="140" t="n">
        <v>660.5</v>
      </c>
      <c r="U20" s="140" t="n">
        <v>965.75</v>
      </c>
      <c r="V20" s="4" t="inlineStr">
        <is>
          <t>IFRS연결</t>
        </is>
      </c>
      <c r="W20" s="15" t="inlineStr">
        <is>
          <t>https://comp.wisereport.co.kr/company/ajax/c1050001_data.aspx?flag=2&amp;cmp_cd=102710&amp;finGubun=MAIN&amp;frq=0&amp;sDT=20261014&amp;chartType=image</t>
        </is>
      </c>
      <c r="X20" s="15" t="inlineStr">
        <is>
          <t>27E 원표와 FnGuide 차이 10% 이내 또는 비교 자료 없음</t>
        </is>
      </c>
    </row>
    <row r="21" ht="21.95" customHeight="1">
      <c r="A21" s="4" t="inlineStr">
        <is>
          <t>텔레칩스</t>
        </is>
      </c>
      <c r="B21" s="137" t="inlineStr">
        <is>
          <t>054450</t>
        </is>
      </c>
      <c r="C21" s="138" t="n">
        <v>1467</v>
      </c>
      <c r="D21" s="138" t="n">
        <v>180</v>
      </c>
      <c r="E21" s="138" t="n">
        <v>224</v>
      </c>
      <c r="F21" s="138" t="n">
        <v>8.1</v>
      </c>
      <c r="G21" s="138" t="n">
        <v>6.6</v>
      </c>
      <c r="H21" s="6" t="n"/>
      <c r="I21" s="7" t="n">
        <v>7980</v>
      </c>
      <c r="J21" s="7" t="n">
        <v>15144233</v>
      </c>
      <c r="K21" s="9" t="inlineStr">
        <is>
          <t>2026-10-15 정규장 종가</t>
        </is>
      </c>
      <c r="L21" s="4" t="inlineStr">
        <is>
          <t>사용자 첨부 IMG_7104~7108 / 원문 https://m.blog.naver.com/stockvera/224440085158</t>
        </is>
      </c>
      <c r="M21" s="4" t="inlineStr">
        <is>
          <t>https://polling.finance.naver.com/api/realtime/domestic/stock/054450</t>
        </is>
      </c>
      <c r="N21" s="4" t="inlineStr">
        <is>
          <t>https://polling.finance.naver.com/api/realtime/domestic/stock/054450</t>
        </is>
      </c>
      <c r="O21" s="139" t="n">
        <v>0.1187</v>
      </c>
      <c r="P21" s="4" t="inlineStr">
        <is>
          <t>IFRS연결</t>
        </is>
      </c>
      <c r="Q21" s="4" t="inlineStr">
        <is>
          <t>2026-10-14</t>
        </is>
      </c>
      <c r="R21" s="4" t="inlineStr">
        <is>
          <t>https://comp.wisereport.co.kr/company/ajax/c1050001_data.aspx?flag=2&amp;cmp_cd=054450&amp;finGubun=MAIN&amp;frq=0&amp;sDT=20261014&amp;chartType=image</t>
        </is>
      </c>
      <c r="S21" s="13" t="inlineStr">
        <is>
          <t>2027.12(E) ROE 직접 제공값과 대조 일치. 백분율 단위·종목코드 확인.</t>
        </is>
      </c>
      <c r="T21" s="140" t="n">
        <v>30.5</v>
      </c>
      <c r="U21" s="140" t="n">
        <v>171.5</v>
      </c>
      <c r="V21" s="4" t="inlineStr">
        <is>
          <t>IFRS연결</t>
        </is>
      </c>
      <c r="W21" s="15" t="inlineStr">
        <is>
          <t>https://comp.wisereport.co.kr/company/ajax/c1050001_data.aspx?flag=2&amp;cmp_cd=054450&amp;finGubun=MAIN&amp;frq=0&amp;sDT=20261014&amp;chartType=image</t>
        </is>
      </c>
      <c r="X21" s="15" t="inlineStr">
        <is>
          <t>27E 원표와 FnGuide 차이 10% 이내 또는 비교 자료 없음</t>
        </is>
      </c>
    </row>
    <row r="22" ht="21.95" customHeight="1">
      <c r="A22" s="4" t="inlineStr">
        <is>
          <t>싸이맥스</t>
        </is>
      </c>
      <c r="B22" s="137" t="inlineStr">
        <is>
          <t>160980</t>
        </is>
      </c>
      <c r="C22" s="138" t="n">
        <v>2928</v>
      </c>
      <c r="D22" s="138" t="n">
        <v>360</v>
      </c>
      <c r="E22" s="138" t="n">
        <v>457</v>
      </c>
      <c r="F22" s="138" t="n">
        <v>8.1</v>
      </c>
      <c r="G22" s="138" t="n">
        <v>6.4</v>
      </c>
      <c r="H22" s="6" t="n"/>
      <c r="I22" s="7" t="n">
        <v>20000</v>
      </c>
      <c r="J22" s="7" t="n">
        <v>10924243</v>
      </c>
      <c r="K22" s="9" t="inlineStr">
        <is>
          <t>2026-10-15 정규장 종가</t>
        </is>
      </c>
      <c r="L22" s="4" t="inlineStr">
        <is>
          <t>사용자 첨부 IMG_7104~7108 / 원문 https://m.blog.naver.com/stockvera/224440085158</t>
        </is>
      </c>
      <c r="M22" s="4" t="inlineStr">
        <is>
          <t>https://polling.finance.naver.com/api/realtime/domestic/stock/160980</t>
        </is>
      </c>
      <c r="N22" s="4" t="inlineStr">
        <is>
          <t>https://polling.finance.naver.com/api/realtime/domestic/stock/160980</t>
        </is>
      </c>
      <c r="O22" s="139" t="n">
        <v>0.1552</v>
      </c>
      <c r="P22" s="4" t="inlineStr">
        <is>
          <t>IFRS연결</t>
        </is>
      </c>
      <c r="Q22" s="4" t="inlineStr">
        <is>
          <t>2026-10-14</t>
        </is>
      </c>
      <c r="R22" s="4" t="inlineStr">
        <is>
          <t>https://comp.wisereport.co.kr/company/ajax/c1050001_data.aspx?flag=2&amp;cmp_cd=160980&amp;finGubun=MAIN&amp;frq=0&amp;sDT=20261014&amp;chartType=image</t>
        </is>
      </c>
      <c r="S22" s="13" t="inlineStr">
        <is>
          <t>2027.12(E) ROE 직접 제공값과 대조 일치. 백분율 단위·종목코드 확인.</t>
        </is>
      </c>
      <c r="T22" s="140" t="n">
        <v>284</v>
      </c>
      <c r="U22" s="140" t="n">
        <v>359</v>
      </c>
      <c r="V22" s="4" t="inlineStr">
        <is>
          <t>IFRS연결</t>
        </is>
      </c>
      <c r="W22" s="15" t="inlineStr">
        <is>
          <t>https://comp.wisereport.co.kr/company/ajax/c1050001_data.aspx?flag=2&amp;cmp_cd=160980&amp;finGubun=MAIN&amp;frq=0&amp;sDT=20261014&amp;chartType=image</t>
        </is>
      </c>
      <c r="X22" s="15" t="inlineStr">
        <is>
          <t>27E 원표와 FnGuide 차이 10% 이내 또는 비교 자료 없음</t>
        </is>
      </c>
    </row>
    <row r="23" ht="60" customHeight="1">
      <c r="A23" s="4" t="inlineStr">
        <is>
          <t>한솔아이원스</t>
        </is>
      </c>
      <c r="B23" s="137" t="inlineStr">
        <is>
          <t>114810</t>
        </is>
      </c>
      <c r="C23" s="138" t="n">
        <v>4129</v>
      </c>
      <c r="D23" s="138" t="n">
        <v>477</v>
      </c>
      <c r="E23" s="138" t="n">
        <v>613</v>
      </c>
      <c r="F23" s="138" t="n">
        <v>8.699999999999999</v>
      </c>
      <c r="G23" s="138" t="n">
        <v>6.7</v>
      </c>
      <c r="H23" s="6" t="n"/>
      <c r="I23" s="7" t="n">
        <v>11810</v>
      </c>
      <c r="J23" s="7" t="n">
        <v>28143174</v>
      </c>
      <c r="K23" s="9" t="inlineStr">
        <is>
          <t>2026-10-15 정규장 종가</t>
        </is>
      </c>
      <c r="L23" s="4" t="inlineStr">
        <is>
          <t>사용자 첨부 IMG_7104~7108 / 원문 https://m.blog.naver.com/stockvera/224440085158</t>
        </is>
      </c>
      <c r="M23" s="4" t="inlineStr">
        <is>
          <t>https://polling.finance.naver.com/api/realtime/domestic/stock/114810</t>
        </is>
      </c>
      <c r="N23" s="4" t="inlineStr">
        <is>
          <t>https://polling.finance.naver.com/api/realtime/domestic/stock/114810</t>
        </is>
      </c>
      <c r="O23" s="139" t="inlineStr">
        <is>
          <t>미확인</t>
        </is>
      </c>
      <c r="P23" s="4" t="inlineStr">
        <is>
          <t>IFRS연결</t>
        </is>
      </c>
      <c r="Q23" s="4" t="inlineStr">
        <is>
          <t>2026-10-14</t>
        </is>
      </c>
      <c r="R23" s="4" t="inlineStr">
        <is>
          <t>https://comp.wisereport.co.kr/company/ajax/c1050001_data.aspx?flag=2&amp;cmp_cd=114810&amp;finGubun=MAIN&amp;frq=0&amp;sDT=20261014&amp;chartType=image</t>
        </is>
      </c>
      <c r="S23" s="13" t="inlineStr">
        <is>
          <t>2027년 이익 추정치는 있으나 2026/2027 BPS·ROE 미제공. 평균 예상 자기자본 미확인으로 계산 보류. 주재무·연결·별도 및 기업현황 화면 재조회.</t>
        </is>
      </c>
      <c r="T23" s="140" t="n">
        <v>337</v>
      </c>
      <c r="U23" s="140" t="n">
        <v>427</v>
      </c>
      <c r="V23" s="4" t="inlineStr">
        <is>
          <t>IFRS연결</t>
        </is>
      </c>
      <c r="W23" s="15" t="inlineStr">
        <is>
          <t>https://comp.wisereport.co.kr/company/ajax/c1050001_data.aspx?flag=2&amp;cmp_cd=114810&amp;finGubun=MAIN&amp;frq=0&amp;sDT=20261014&amp;chartType=image</t>
        </is>
      </c>
      <c r="X23" s="15" t="inlineStr">
        <is>
          <t>27E 원표와 FnGuide 차이 10% 이내 또는 비교 자료 없음</t>
        </is>
      </c>
    </row>
    <row r="24" ht="21.95" customHeight="1">
      <c r="A24" s="4" t="inlineStr">
        <is>
          <t>유니셈</t>
        </is>
      </c>
      <c r="B24" s="137" t="inlineStr">
        <is>
          <t>036200</t>
        </is>
      </c>
      <c r="C24" s="138" t="n">
        <v>3271</v>
      </c>
      <c r="D24" s="138" t="n">
        <v>372</v>
      </c>
      <c r="E24" s="138" t="n">
        <v>422</v>
      </c>
      <c r="F24" s="138" t="n">
        <v>8.800000000000001</v>
      </c>
      <c r="G24" s="138" t="n">
        <v>7.8</v>
      </c>
      <c r="H24" s="6" t="n"/>
      <c r="I24" s="7" t="n">
        <v>8460</v>
      </c>
      <c r="J24" s="7" t="n">
        <v>30664223</v>
      </c>
      <c r="K24" s="9" t="inlineStr">
        <is>
          <t>2026-10-15 정규장 종가</t>
        </is>
      </c>
      <c r="L24" s="4" t="inlineStr">
        <is>
          <t>사용자 첨부 IMG_7104~7108 / 원문 https://m.blog.naver.com/stockvera/224440085158</t>
        </is>
      </c>
      <c r="M24" s="4" t="inlineStr">
        <is>
          <t>https://polling.finance.naver.com/api/realtime/domestic/stock/036200</t>
        </is>
      </c>
      <c r="N24" s="4" t="inlineStr">
        <is>
          <t>https://polling.finance.naver.com/api/realtime/domestic/stock/036200</t>
        </is>
      </c>
      <c r="O24" s="139" t="n">
        <v>0.1305</v>
      </c>
      <c r="P24" s="4" t="inlineStr">
        <is>
          <t>IFRS연결</t>
        </is>
      </c>
      <c r="Q24" s="4" t="inlineStr">
        <is>
          <t>2026-10-14</t>
        </is>
      </c>
      <c r="R24" s="4" t="inlineStr">
        <is>
          <t>https://comp.wisereport.co.kr/company/ajax/c1050001_data.aspx?flag=2&amp;cmp_cd=036200&amp;finGubun=MAIN&amp;frq=0&amp;sDT=20261014&amp;chartType=image</t>
        </is>
      </c>
      <c r="S24" s="13" t="inlineStr">
        <is>
          <t>2027.12(E) ROE 직접 제공값과 대조 일치. 백분율 단위·종목코드 확인.</t>
        </is>
      </c>
      <c r="T24" s="140" t="n">
        <v>269</v>
      </c>
      <c r="U24" s="140" t="n">
        <v>280</v>
      </c>
      <c r="V24" s="4" t="inlineStr">
        <is>
          <t>IFRS연결</t>
        </is>
      </c>
      <c r="W24" s="15" t="inlineStr">
        <is>
          <t>https://comp.wisereport.co.kr/company/ajax/c1050001_data.aspx?flag=2&amp;cmp_cd=036200&amp;finGubun=MAIN&amp;frq=0&amp;sDT=20261014&amp;chartType=image</t>
        </is>
      </c>
      <c r="X24" s="15" t="inlineStr">
        <is>
          <t>27E 원표와 FnGuide 차이 10% 이내 또는 비교 자료 없음</t>
        </is>
      </c>
    </row>
    <row r="25" ht="21.95" customHeight="1">
      <c r="A25" s="4" t="inlineStr">
        <is>
          <t>엘티씨</t>
        </is>
      </c>
      <c r="B25" s="137" t="inlineStr">
        <is>
          <t>170920</t>
        </is>
      </c>
      <c r="C25" s="138" t="n">
        <v>4083</v>
      </c>
      <c r="D25" s="138" t="n">
        <v>464</v>
      </c>
      <c r="E25" s="138" t="n">
        <v>1174</v>
      </c>
      <c r="F25" s="138" t="n">
        <v>8.800000000000001</v>
      </c>
      <c r="G25" s="138" t="n">
        <v>3.5</v>
      </c>
      <c r="H25" s="6" t="inlineStr">
        <is>
          <t>†</t>
        </is>
      </c>
      <c r="I25" s="7" t="n">
        <v>30500</v>
      </c>
      <c r="J25" s="7" t="n">
        <v>10564126</v>
      </c>
      <c r="K25" s="9" t="inlineStr">
        <is>
          <t>2026-10-15 정규장 종가</t>
        </is>
      </c>
      <c r="L25" s="4" t="inlineStr">
        <is>
          <t>사용자 첨부 IMG_7104~7108 / 원문 https://m.blog.naver.com/stockvera/224440085158</t>
        </is>
      </c>
      <c r="M25" s="4" t="inlineStr">
        <is>
          <t>https://polling.finance.naver.com/api/realtime/domestic/stock/170920</t>
        </is>
      </c>
      <c r="N25" s="4" t="inlineStr">
        <is>
          <t>https://polling.finance.naver.com/api/realtime/domestic/stock/170920</t>
        </is>
      </c>
      <c r="O25" s="139" t="n">
        <v>0.2615</v>
      </c>
      <c r="P25" s="4" t="inlineStr">
        <is>
          <t>IFRS연결</t>
        </is>
      </c>
      <c r="Q25" s="4" t="inlineStr">
        <is>
          <t>2026-10-14</t>
        </is>
      </c>
      <c r="R25" s="4" t="inlineStr">
        <is>
          <t>https://comp.wisereport.co.kr/company/ajax/c1050001_data.aspx?flag=2&amp;cmp_cd=170920&amp;finGubun=MAIN&amp;frq=0&amp;sDT=20261014&amp;chartType=image</t>
        </is>
      </c>
      <c r="S25" s="13" t="inlineStr">
        <is>
          <t>2027.12(E) ROE 직접 제공값과 대조 일치. 백분율 단위·종목코드 확인.</t>
        </is>
      </c>
      <c r="T25" s="140" t="n">
        <v>293</v>
      </c>
      <c r="U25" s="140" t="n">
        <v>733.5</v>
      </c>
      <c r="V25" s="4" t="inlineStr">
        <is>
          <t>IFRS연결</t>
        </is>
      </c>
      <c r="W25" s="15" t="inlineStr">
        <is>
          <t>https://comp.wisereport.co.kr/company/ajax/c1050001_data.aspx?flag=2&amp;cmp_cd=170920&amp;finGubun=MAIN&amp;frq=0&amp;sDT=20261014&amp;chartType=image</t>
        </is>
      </c>
      <c r="X25" s="15" t="inlineStr">
        <is>
          <t>27E 원표와 FnGuide 차이 10% 이내 또는 비교 자료 없음</t>
        </is>
      </c>
    </row>
    <row r="26" ht="60" customHeight="1">
      <c r="A26" s="4" t="inlineStr">
        <is>
          <t>신성이엔지</t>
        </is>
      </c>
      <c r="B26" s="137" t="inlineStr">
        <is>
          <t>011930</t>
        </is>
      </c>
      <c r="C26" s="138" t="n">
        <v>3773</v>
      </c>
      <c r="D26" s="138" t="n">
        <v>423</v>
      </c>
      <c r="E26" s="138" t="n">
        <v>276</v>
      </c>
      <c r="F26" s="138" t="n">
        <v>8.9</v>
      </c>
      <c r="G26" s="138" t="n">
        <v>13.7</v>
      </c>
      <c r="H26" s="6" t="inlineStr">
        <is>
          <t>†</t>
        </is>
      </c>
      <c r="I26" s="7" t="n">
        <v>15360</v>
      </c>
      <c r="J26" s="7" t="n">
        <v>20306182</v>
      </c>
      <c r="K26" s="9" t="inlineStr">
        <is>
          <t>2026-10-15 정규장 종가</t>
        </is>
      </c>
      <c r="L26" s="4" t="inlineStr">
        <is>
          <t>사용자 첨부 IMG_7104~7108 / 원문 https://m.blog.naver.com/stockvera/224440085158</t>
        </is>
      </c>
      <c r="M26" s="4" t="inlineStr">
        <is>
          <t>https://polling.finance.naver.com/api/realtime/domestic/stock/011930</t>
        </is>
      </c>
      <c r="N26" s="4" t="inlineStr">
        <is>
          <t>https://polling.finance.naver.com/api/realtime/domestic/stock/011930</t>
        </is>
      </c>
      <c r="O26" s="139" t="inlineStr">
        <is>
          <t>미확인</t>
        </is>
      </c>
      <c r="P26" s="4" t="inlineStr">
        <is>
          <t>IFRS연결</t>
        </is>
      </c>
      <c r="Q26" s="4" t="inlineStr">
        <is>
          <t>2026-10-14</t>
        </is>
      </c>
      <c r="R26" s="4" t="inlineStr">
        <is>
          <t>https://comp.wisereport.co.kr/company/ajax/c1050001_data.aspx?flag=2&amp;cmp_cd=011930&amp;finGubun=MAIN&amp;frq=0&amp;sDT=20261014&amp;chartType=image</t>
        </is>
      </c>
      <c r="S26" s="13" t="inlineStr">
        <is>
          <t>2027년 이익 추정치는 있으나 2026/2027 BPS·ROE 미제공. 평균 예상 자기자본 미확인으로 계산 보류. 주재무·연결·별도 및 기업현황 화면 재조회.</t>
        </is>
      </c>
      <c r="T26" s="140" t="n">
        <v>388</v>
      </c>
      <c r="U26" s="140" t="n">
        <v>195</v>
      </c>
      <c r="V26" s="4" t="inlineStr">
        <is>
          <t>IFRS연결</t>
        </is>
      </c>
      <c r="W26" s="15" t="inlineStr">
        <is>
          <t>https://comp.wisereport.co.kr/company/ajax/c1050001_data.aspx?flag=2&amp;cmp_cd=011930&amp;finGubun=MAIN&amp;frq=0&amp;sDT=20261014&amp;chartType=image</t>
        </is>
      </c>
      <c r="X26" s="15" t="inlineStr">
        <is>
          <t>27E 원표와 FnGuide 차이 10% 이내 또는 비교 자료 없음</t>
        </is>
      </c>
    </row>
    <row r="27" ht="21.95" customHeight="1">
      <c r="A27" s="4" t="inlineStr">
        <is>
          <t>해성디에스</t>
        </is>
      </c>
      <c r="B27" s="137" t="inlineStr">
        <is>
          <t>195870</t>
        </is>
      </c>
      <c r="C27" s="138" t="n">
        <v>11000</v>
      </c>
      <c r="D27" s="138" t="n">
        <v>1164</v>
      </c>
      <c r="E27" s="138" t="n">
        <v>1498</v>
      </c>
      <c r="F27" s="138" t="n">
        <v>9.1</v>
      </c>
      <c r="G27" s="138" t="n">
        <v>7.1</v>
      </c>
      <c r="H27" s="6" t="n"/>
      <c r="I27" s="7" t="n">
        <v>47700</v>
      </c>
      <c r="J27" s="7" t="n">
        <v>17000000</v>
      </c>
      <c r="K27" s="9" t="inlineStr">
        <is>
          <t>2026-10-15 정규장 종가</t>
        </is>
      </c>
      <c r="L27" s="4" t="inlineStr">
        <is>
          <t>사용자 첨부 IMG_7104~7108 / 원문 https://m.blog.naver.com/stockvera/224440085158</t>
        </is>
      </c>
      <c r="M27" s="4" t="inlineStr">
        <is>
          <t>https://polling.finance.naver.com/api/realtime/domestic/stock/195870</t>
        </is>
      </c>
      <c r="N27" s="4" t="inlineStr">
        <is>
          <t>https://polling.finance.naver.com/api/realtime/domestic/stock/195870</t>
        </is>
      </c>
      <c r="O27" s="139" t="n">
        <v>0.1687</v>
      </c>
      <c r="P27" s="4" t="inlineStr">
        <is>
          <t>IFRS연결</t>
        </is>
      </c>
      <c r="Q27" s="4" t="inlineStr">
        <is>
          <t>2026-10-14</t>
        </is>
      </c>
      <c r="R27" s="4" t="inlineStr">
        <is>
          <t>https://comp.wisereport.co.kr/company/ajax/c1050001_data.aspx?flag=2&amp;cmp_cd=195870&amp;finGubun=MAIN&amp;frq=0&amp;sDT=20261014&amp;chartType=image</t>
        </is>
      </c>
      <c r="S27" s="13" t="inlineStr">
        <is>
          <t>2027.12(E) ROE 직접 제공값과 대조 일치. 백분율 단위·종목코드 확인.</t>
        </is>
      </c>
      <c r="T27" s="140" t="n">
        <v>812.3</v>
      </c>
      <c r="U27" s="140" t="n">
        <v>1025.5</v>
      </c>
      <c r="V27" s="4" t="inlineStr">
        <is>
          <t>IFRS연결</t>
        </is>
      </c>
      <c r="W27" s="15" t="inlineStr">
        <is>
          <t>https://comp.wisereport.co.kr/company/ajax/c1050001_data.aspx?flag=2&amp;cmp_cd=195870&amp;finGubun=MAIN&amp;frq=0&amp;sDT=20261014&amp;chartType=image</t>
        </is>
      </c>
      <c r="X27" s="15" t="inlineStr">
        <is>
          <t>27E 원표와 FnGuide 차이 10% 이내 또는 비교 자료 없음</t>
        </is>
      </c>
    </row>
    <row r="28" ht="21.95" customHeight="1">
      <c r="A28" s="4" t="inlineStr">
        <is>
          <t>코세스</t>
        </is>
      </c>
      <c r="B28" s="137" t="inlineStr">
        <is>
          <t>089890</t>
        </is>
      </c>
      <c r="C28" s="138" t="n">
        <v>5125</v>
      </c>
      <c r="D28" s="138" t="n">
        <v>540</v>
      </c>
      <c r="E28" s="138" t="n">
        <v>650</v>
      </c>
      <c r="F28" s="138" t="n">
        <v>9.5</v>
      </c>
      <c r="G28" s="138" t="n">
        <v>7.9</v>
      </c>
      <c r="H28" s="6" t="n"/>
      <c r="I28" s="7" t="n">
        <v>26550</v>
      </c>
      <c r="J28" s="7" t="n">
        <v>16584962</v>
      </c>
      <c r="K28" s="9" t="inlineStr">
        <is>
          <t>2026-10-15 정규장 종가</t>
        </is>
      </c>
      <c r="L28" s="4" t="inlineStr">
        <is>
          <t>사용자 첨부 IMG_7104~7108 / 원문 https://m.blog.naver.com/stockvera/224440085158</t>
        </is>
      </c>
      <c r="M28" s="4" t="inlineStr">
        <is>
          <t>https://polling.finance.naver.com/api/realtime/domestic/stock/089890</t>
        </is>
      </c>
      <c r="N28" s="4" t="inlineStr">
        <is>
          <t>https://polling.finance.naver.com/api/realtime/domestic/stock/089890</t>
        </is>
      </c>
      <c r="O28" s="139" t="n">
        <v>0.4045</v>
      </c>
      <c r="P28" s="4" t="inlineStr">
        <is>
          <t>IFRS연결</t>
        </is>
      </c>
      <c r="Q28" s="4" t="inlineStr">
        <is>
          <t>2026-10-14</t>
        </is>
      </c>
      <c r="R28" s="4" t="inlineStr">
        <is>
          <t>https://comp.wisereport.co.kr/company/ajax/c1050001_data.aspx?flag=2&amp;cmp_cd=089890&amp;finGubun=MAIN&amp;frq=0&amp;sDT=20261014&amp;chartType=image</t>
        </is>
      </c>
      <c r="S28" s="13" t="inlineStr">
        <is>
          <t>2027.12(E) ROE 직접 제공값과 대조 일치. 백분율 단위·종목코드 확인.</t>
        </is>
      </c>
      <c r="T28" s="140" t="n">
        <v>330</v>
      </c>
      <c r="U28" s="140" t="n">
        <v>390</v>
      </c>
      <c r="V28" s="4" t="inlineStr">
        <is>
          <t>IFRS연결</t>
        </is>
      </c>
      <c r="W28" s="15" t="inlineStr">
        <is>
          <t>https://comp.wisereport.co.kr/company/ajax/c1050001_data.aspx?flag=2&amp;cmp_cd=089890&amp;finGubun=MAIN&amp;frq=0&amp;sDT=20261014&amp;chartType=image</t>
        </is>
      </c>
      <c r="X28" s="15" t="inlineStr">
        <is>
          <t>27E 원표와 FnGuide 차이 10% 이내 또는 비교 자료 없음</t>
        </is>
      </c>
    </row>
    <row r="29" ht="21.95" customHeight="1">
      <c r="A29" s="4" t="inlineStr">
        <is>
          <t>LX세미콘</t>
        </is>
      </c>
      <c r="B29" s="137" t="inlineStr">
        <is>
          <t>108320</t>
        </is>
      </c>
      <c r="C29" s="138" t="n">
        <v>5798</v>
      </c>
      <c r="D29" s="138" t="n">
        <v>610</v>
      </c>
      <c r="E29" s="138" t="n">
        <v>770</v>
      </c>
      <c r="F29" s="138" t="n">
        <v>9.5</v>
      </c>
      <c r="G29" s="138" t="n">
        <v>7.5</v>
      </c>
      <c r="H29" s="6" t="n"/>
      <c r="I29" s="7" t="n">
        <v>31600</v>
      </c>
      <c r="J29" s="7" t="n">
        <v>16264300</v>
      </c>
      <c r="K29" s="9" t="inlineStr">
        <is>
          <t>2026-10-15 정규장 종가</t>
        </is>
      </c>
      <c r="L29" s="4" t="inlineStr">
        <is>
          <t>사용자 첨부 IMG_7104~7108 / 원문 https://m.blog.naver.com/stockvera/224440085158</t>
        </is>
      </c>
      <c r="M29" s="4" t="inlineStr">
        <is>
          <t>https://polling.finance.naver.com/api/realtime/domestic/stock/108320</t>
        </is>
      </c>
      <c r="N29" s="4" t="inlineStr">
        <is>
          <t>https://polling.finance.naver.com/api/realtime/domestic/stock/108320</t>
        </is>
      </c>
      <c r="O29" s="139" t="n">
        <v>0.0512</v>
      </c>
      <c r="P29" s="4" t="inlineStr">
        <is>
          <t>IFRS연결</t>
        </is>
      </c>
      <c r="Q29" s="4" t="inlineStr">
        <is>
          <t>2026-10-14</t>
        </is>
      </c>
      <c r="R29" s="4" t="inlineStr">
        <is>
          <t>https://comp.wisereport.co.kr/company/ajax/c1050001_data.aspx?flag=2&amp;cmp_cd=108320&amp;finGubun=MAIN&amp;frq=0&amp;sDT=20261014&amp;chartType=image</t>
        </is>
      </c>
      <c r="S29" s="13" t="inlineStr">
        <is>
          <t>2027.12(E) ROE 직접 제공값과 대조 일치. 백분율 단위·종목코드 확인.</t>
        </is>
      </c>
      <c r="T29" s="140" t="n">
        <v>610</v>
      </c>
      <c r="U29" s="140" t="n">
        <v>781</v>
      </c>
      <c r="V29" s="4" t="inlineStr">
        <is>
          <t>IFRS연결</t>
        </is>
      </c>
      <c r="W29" s="15" t="inlineStr">
        <is>
          <t>https://comp.wisereport.co.kr/company/ajax/c1050001_data.aspx?flag=2&amp;cmp_cd=108320&amp;finGubun=MAIN&amp;frq=0&amp;sDT=20261014&amp;chartType=image</t>
        </is>
      </c>
      <c r="X29" s="15" t="inlineStr">
        <is>
          <t>27E 원표와 FnGuide 차이 10% 이내 또는 비교 자료 없음</t>
        </is>
      </c>
    </row>
    <row r="30" ht="21.95" customHeight="1">
      <c r="A30" s="4" t="inlineStr">
        <is>
          <t>원익QnC</t>
        </is>
      </c>
      <c r="B30" s="137" t="inlineStr">
        <is>
          <t>074600</t>
        </is>
      </c>
      <c r="C30" s="138" t="n">
        <v>8517</v>
      </c>
      <c r="D30" s="138" t="n">
        <v>887</v>
      </c>
      <c r="E30" s="138" t="n">
        <v>1504</v>
      </c>
      <c r="F30" s="138" t="n">
        <v>9.6</v>
      </c>
      <c r="G30" s="138" t="n">
        <v>5.7</v>
      </c>
      <c r="H30" s="6" t="inlineStr">
        <is>
          <t>†</t>
        </is>
      </c>
      <c r="I30" s="7" t="n">
        <v>26250</v>
      </c>
      <c r="J30" s="7" t="n">
        <v>26288000</v>
      </c>
      <c r="K30" s="9" t="inlineStr">
        <is>
          <t>2026-10-15 정규장 종가</t>
        </is>
      </c>
      <c r="L30" s="4" t="inlineStr">
        <is>
          <t>사용자 첨부 IMG_7104~7108 / 원문 https://m.blog.naver.com/stockvera/224440085158</t>
        </is>
      </c>
      <c r="M30" s="4" t="inlineStr">
        <is>
          <t>https://polling.finance.naver.com/api/realtime/domestic/stock/074600</t>
        </is>
      </c>
      <c r="N30" s="4" t="inlineStr">
        <is>
          <t>https://polling.finance.naver.com/api/realtime/domestic/stock/074600</t>
        </is>
      </c>
      <c r="O30" s="139" t="n">
        <v>0.1467</v>
      </c>
      <c r="P30" s="4" t="inlineStr">
        <is>
          <t>IFRS연결</t>
        </is>
      </c>
      <c r="Q30" s="4" t="inlineStr">
        <is>
          <t>2026-10-14</t>
        </is>
      </c>
      <c r="R30" s="4" t="inlineStr">
        <is>
          <t>https://comp.wisereport.co.kr/company/ajax/c1050001_data.aspx?flag=2&amp;cmp_cd=074600&amp;finGubun=MAIN&amp;frq=0&amp;sDT=20261014&amp;chartType=image</t>
        </is>
      </c>
      <c r="S30" s="13" t="inlineStr">
        <is>
          <t>2027.12(E) ROE 직접 제공값과 대조 일치. 백분율 단위·종목코드 확인.</t>
        </is>
      </c>
      <c r="T30" s="140" t="n">
        <v>716.67</v>
      </c>
      <c r="U30" s="140" t="n">
        <v>1166.33</v>
      </c>
      <c r="V30" s="4" t="inlineStr">
        <is>
          <t>IFRS연결</t>
        </is>
      </c>
      <c r="W30" s="15" t="inlineStr">
        <is>
          <t>https://comp.wisereport.co.kr/company/ajax/c1050001_data.aspx?flag=2&amp;cmp_cd=074600&amp;finGubun=MAIN&amp;frq=0&amp;sDT=20261014&amp;chartType=image</t>
        </is>
      </c>
      <c r="X30" s="15" t="inlineStr">
        <is>
          <t>27E 원표와 FnGuide 차이 10% 이내 또는 비교 자료 없음</t>
        </is>
      </c>
    </row>
    <row r="31" ht="21.95" customHeight="1">
      <c r="A31" s="4" t="inlineStr">
        <is>
          <t>프로텍</t>
        </is>
      </c>
      <c r="B31" s="137" t="inlineStr">
        <is>
          <t>053610</t>
        </is>
      </c>
      <c r="C31" s="138" t="n">
        <v>7056</v>
      </c>
      <c r="D31" s="138" t="n">
        <v>703</v>
      </c>
      <c r="E31" s="138" t="n">
        <v>800</v>
      </c>
      <c r="F31" s="138" t="n">
        <v>10</v>
      </c>
      <c r="G31" s="138" t="n">
        <v>8.800000000000001</v>
      </c>
      <c r="H31" s="6" t="n"/>
      <c r="I31" s="7" t="n">
        <v>61600</v>
      </c>
      <c r="J31" s="7" t="n">
        <v>9000000</v>
      </c>
      <c r="K31" s="9" t="inlineStr">
        <is>
          <t>2026-10-15 정규장 종가</t>
        </is>
      </c>
      <c r="L31" s="4" t="inlineStr">
        <is>
          <t>사용자 첨부 IMG_7104~7108 / 원문 https://m.blog.naver.com/stockvera/224440085158</t>
        </is>
      </c>
      <c r="M31" s="4" t="inlineStr">
        <is>
          <t>https://polling.finance.naver.com/api/realtime/domestic/stock/053610</t>
        </is>
      </c>
      <c r="N31" s="4" t="inlineStr">
        <is>
          <t>https://polling.finance.naver.com/api/realtime/domestic/stock/053610</t>
        </is>
      </c>
      <c r="O31" s="139" t="n">
        <v>0.1537</v>
      </c>
      <c r="P31" s="4" t="inlineStr">
        <is>
          <t>IFRS연결</t>
        </is>
      </c>
      <c r="Q31" s="4" t="inlineStr">
        <is>
          <t>2026-10-14</t>
        </is>
      </c>
      <c r="R31" s="4" t="inlineStr">
        <is>
          <t>https://comp.wisereport.co.kr/company/ajax/c1050001_data.aspx?flag=2&amp;cmp_cd=053610&amp;finGubun=MAIN&amp;frq=0&amp;sDT=20261014&amp;chartType=image</t>
        </is>
      </c>
      <c r="S31" s="13" t="inlineStr">
        <is>
          <t>2027.12(E) ROE 직접 제공값과 대조 일치. 백분율 단위·종목코드 확인.</t>
        </is>
      </c>
      <c r="T31" s="140" t="n">
        <v>787</v>
      </c>
      <c r="U31" s="140" t="n">
        <v>746</v>
      </c>
      <c r="V31" s="4" t="inlineStr">
        <is>
          <t>IFRS연결</t>
        </is>
      </c>
      <c r="W31" s="15" t="inlineStr">
        <is>
          <t>https://comp.wisereport.co.kr/company/ajax/c1050001_data.aspx?flag=2&amp;cmp_cd=053610&amp;finGubun=MAIN&amp;frq=0&amp;sDT=20261014&amp;chartType=image</t>
        </is>
      </c>
      <c r="X31" s="15" t="inlineStr">
        <is>
          <t>27E 원표와 FnGuide 차이 10% 이내 또는 비교 자료 없음</t>
        </is>
      </c>
    </row>
    <row r="32" ht="60" customHeight="1">
      <c r="A32" s="4" t="inlineStr">
        <is>
          <t>저스템</t>
        </is>
      </c>
      <c r="B32" s="137" t="inlineStr">
        <is>
          <t>417840</t>
        </is>
      </c>
      <c r="C32" s="138" t="n">
        <v>4493</v>
      </c>
      <c r="D32" s="138" t="n">
        <v>440</v>
      </c>
      <c r="E32" s="138" t="n">
        <v>516</v>
      </c>
      <c r="F32" s="138" t="n">
        <v>10.2</v>
      </c>
      <c r="G32" s="138" t="n">
        <v>8.699999999999999</v>
      </c>
      <c r="H32" s="6" t="n"/>
      <c r="I32" s="7" t="n">
        <v>14870</v>
      </c>
      <c r="J32" s="7" t="n">
        <v>22946681</v>
      </c>
      <c r="K32" s="9" t="inlineStr">
        <is>
          <t>2026-10-15 정규장 종가</t>
        </is>
      </c>
      <c r="L32" s="4" t="inlineStr">
        <is>
          <t>사용자 첨부 IMG_7104~7108 / 원문 https://m.blog.naver.com/stockvera/224440085158</t>
        </is>
      </c>
      <c r="M32" s="4" t="inlineStr">
        <is>
          <t>https://polling.finance.naver.com/api/realtime/domestic/stock/417840</t>
        </is>
      </c>
      <c r="N32" s="4" t="inlineStr">
        <is>
          <t>https://polling.finance.naver.com/api/realtime/domestic/stock/417840</t>
        </is>
      </c>
      <c r="O32" s="139" t="inlineStr">
        <is>
          <t>미확인</t>
        </is>
      </c>
      <c r="P32" s="4" t="inlineStr">
        <is>
          <t>IFRS연결</t>
        </is>
      </c>
      <c r="Q32" s="4" t="inlineStr">
        <is>
          <t>2026-10-14</t>
        </is>
      </c>
      <c r="R32" s="4" t="inlineStr">
        <is>
          <t>https://comp.wisereport.co.kr/company/ajax/c1050001_data.aspx?flag=2&amp;cmp_cd=417840&amp;finGubun=MAIN&amp;frq=0&amp;sDT=20261014&amp;chartType=image</t>
        </is>
      </c>
      <c r="S32" s="13" t="inlineStr">
        <is>
          <t>2027년 이익 추정치는 있으나 2026/2027 BPS·ROE 미제공. 평균 예상 자기자본 미확인으로 계산 보류. 주재무·연결·별도 및 기업현황 화면 재조회.</t>
        </is>
      </c>
      <c r="T32" s="140" t="n">
        <v>293.5</v>
      </c>
      <c r="U32" s="140" t="n">
        <v>345.74</v>
      </c>
      <c r="V32" s="4" t="inlineStr">
        <is>
          <t>IFRS연결</t>
        </is>
      </c>
      <c r="W32" s="15" t="inlineStr">
        <is>
          <t>https://comp.wisereport.co.kr/company/ajax/c1050001_data.aspx?flag=2&amp;cmp_cd=417840&amp;finGubun=MAIN&amp;frq=0&amp;sDT=20261014&amp;chartType=image</t>
        </is>
      </c>
      <c r="X32" s="15" t="inlineStr">
        <is>
          <t>27E 원표와 FnGuide 차이 10% 이내 또는 비교 자료 없음</t>
        </is>
      </c>
    </row>
    <row r="33" ht="21.95" customHeight="1">
      <c r="A33" s="4" t="inlineStr">
        <is>
          <t>삼양엔씨켐</t>
        </is>
      </c>
      <c r="B33" s="137" t="inlineStr">
        <is>
          <t>482630</t>
        </is>
      </c>
      <c r="C33" s="138" t="n">
        <v>3215</v>
      </c>
      <c r="D33" s="138" t="n">
        <v>300</v>
      </c>
      <c r="E33" s="138" t="n">
        <v>326</v>
      </c>
      <c r="F33" s="138" t="n">
        <v>10.7</v>
      </c>
      <c r="G33" s="138" t="n">
        <v>9.9</v>
      </c>
      <c r="H33" s="6" t="n"/>
      <c r="I33" s="7" t="n">
        <v>12490</v>
      </c>
      <c r="J33" s="7" t="n">
        <v>21888280</v>
      </c>
      <c r="K33" s="9" t="inlineStr">
        <is>
          <t>2026-10-15 정규장 종가</t>
        </is>
      </c>
      <c r="L33" s="4" t="inlineStr">
        <is>
          <t>사용자 첨부 IMG_7104~7108 / 원문 https://m.blog.naver.com/stockvera/224440085158</t>
        </is>
      </c>
      <c r="M33" s="4" t="inlineStr">
        <is>
          <t>https://polling.finance.naver.com/api/realtime/domestic/stock/482630</t>
        </is>
      </c>
      <c r="N33" s="4" t="inlineStr">
        <is>
          <t>https://polling.finance.naver.com/api/realtime/domestic/stock/482630</t>
        </is>
      </c>
      <c r="O33" s="139" t="n">
        <v>0.1865</v>
      </c>
      <c r="P33" s="4" t="inlineStr">
        <is>
          <t>IFRS별도</t>
        </is>
      </c>
      <c r="Q33" s="4" t="inlineStr">
        <is>
          <t>2026-10-14</t>
        </is>
      </c>
      <c r="R33" s="4" t="inlineStr">
        <is>
          <t>https://comp.wisereport.co.kr/company/ajax/c1050001_data.aspx?flag=2&amp;cmp_cd=482630&amp;finGubun=MAIN&amp;frq=0&amp;sDT=20261014&amp;chartType=image</t>
        </is>
      </c>
      <c r="S33" s="13" t="inlineStr">
        <is>
          <t>2027.12(E) ROE 직접 제공값과 대조 일치. 백분율 단위·종목코드 확인.</t>
        </is>
      </c>
      <c r="T33" s="140" t="n">
        <v>238.5</v>
      </c>
      <c r="U33" s="140" t="n">
        <v>242.5</v>
      </c>
      <c r="V33" s="4" t="inlineStr">
        <is>
          <t>IFRS별도</t>
        </is>
      </c>
      <c r="W33" s="15" t="inlineStr">
        <is>
          <t>https://comp.wisereport.co.kr/company/ajax/c1050001_data.aspx?flag=2&amp;cmp_cd=482630&amp;finGubun=MAIN&amp;frq=0&amp;sDT=20261014&amp;chartType=image</t>
        </is>
      </c>
      <c r="X33" s="15" t="inlineStr">
        <is>
          <t>27E 원표와 FnGuide 차이 10% 이내 또는 비교 자료 없음</t>
        </is>
      </c>
    </row>
    <row r="34" ht="60" customHeight="1">
      <c r="A34" s="4" t="inlineStr">
        <is>
          <t>에이엘티</t>
        </is>
      </c>
      <c r="B34" s="137" t="inlineStr">
        <is>
          <t>172670</t>
        </is>
      </c>
      <c r="C34" s="138" t="n">
        <v>1259</v>
      </c>
      <c r="D34" s="138" t="n">
        <v>116</v>
      </c>
      <c r="E34" s="138" t="n">
        <v>143</v>
      </c>
      <c r="F34" s="138" t="n">
        <v>10.9</v>
      </c>
      <c r="G34" s="138" t="n">
        <v>8.800000000000001</v>
      </c>
      <c r="H34" s="6" t="n"/>
      <c r="I34" s="7" t="n">
        <v>11930</v>
      </c>
      <c r="J34" s="7" t="n">
        <v>8960259</v>
      </c>
      <c r="K34" s="9" t="inlineStr">
        <is>
          <t>2026-10-15 정규장 종가</t>
        </is>
      </c>
      <c r="L34" s="4" t="inlineStr">
        <is>
          <t>사용자 첨부 IMG_7104~7108 / 원문 https://m.blog.naver.com/stockvera/224440085158</t>
        </is>
      </c>
      <c r="M34" s="4" t="inlineStr">
        <is>
          <t>https://polling.finance.naver.com/api/realtime/domestic/stock/172670</t>
        </is>
      </c>
      <c r="N34" s="4" t="inlineStr">
        <is>
          <t>https://polling.finance.naver.com/api/realtime/domestic/stock/172670</t>
        </is>
      </c>
      <c r="O34" s="139" t="inlineStr">
        <is>
          <t>미확인</t>
        </is>
      </c>
      <c r="P34" s="4" t="inlineStr">
        <is>
          <t>IFRS연결</t>
        </is>
      </c>
      <c r="Q34" s="4" t="inlineStr">
        <is>
          <t>2026-10-14</t>
        </is>
      </c>
      <c r="R34" s="4" t="inlineStr">
        <is>
          <t>https://comp.wisereport.co.kr/company/ajax/c1050001_data.aspx?flag=2&amp;cmp_cd=172670&amp;finGubun=MAIN&amp;frq=0&amp;sDT=20261014&amp;chartType=image</t>
        </is>
      </c>
      <c r="S34" s="13" t="inlineStr">
        <is>
          <t>2027년 이익 추정치는 있으나 2026/2027 BPS·ROE 미제공. 평균 예상 자기자본 미확인으로 계산 보류. 주재무·연결·별도 및 기업현황 화면 재조회.</t>
        </is>
      </c>
      <c r="T34" s="140" t="n">
        <v>28</v>
      </c>
      <c r="U34" s="140" t="n">
        <v>60</v>
      </c>
      <c r="V34" s="4" t="inlineStr">
        <is>
          <t>IFRS연결</t>
        </is>
      </c>
      <c r="W34" s="15" t="inlineStr">
        <is>
          <t>https://comp.wisereport.co.kr/company/ajax/c1050001_data.aspx?flag=2&amp;cmp_cd=172670&amp;finGubun=MAIN&amp;frq=0&amp;sDT=20261014&amp;chartType=image</t>
        </is>
      </c>
      <c r="X34" s="15" t="inlineStr">
        <is>
          <t>27E 원표와 FnGuide 차이 10% 이내 또는 비교 자료 없음</t>
        </is>
      </c>
    </row>
    <row r="35" ht="21.95" customHeight="1">
      <c r="A35" s="4" t="inlineStr">
        <is>
          <t>DB하이텍</t>
        </is>
      </c>
      <c r="B35" s="137" t="inlineStr">
        <is>
          <t>000990</t>
        </is>
      </c>
      <c r="C35" s="138" t="n">
        <v>57000</v>
      </c>
      <c r="D35" s="138" t="n">
        <v>4930</v>
      </c>
      <c r="E35" s="138" t="n">
        <v>5525</v>
      </c>
      <c r="F35" s="138" t="n">
        <v>11.6</v>
      </c>
      <c r="G35" s="138" t="n">
        <v>10.4</v>
      </c>
      <c r="H35" s="6" t="n"/>
      <c r="I35" s="7" t="n">
        <v>100000</v>
      </c>
      <c r="J35" s="7" t="n">
        <v>43504588</v>
      </c>
      <c r="K35" s="9" t="inlineStr">
        <is>
          <t>2026-10-15 정규장 종가</t>
        </is>
      </c>
      <c r="L35" s="4" t="inlineStr">
        <is>
          <t>사용자 첨부 IMG_7104~7108 / 원문 https://m.blog.naver.com/stockvera/224440085158</t>
        </is>
      </c>
      <c r="M35" s="4" t="inlineStr">
        <is>
          <t>https://polling.finance.naver.com/api/realtime/domestic/stock/000990</t>
        </is>
      </c>
      <c r="N35" s="4" t="inlineStr">
        <is>
          <t>https://polling.finance.naver.com/api/realtime/domestic/stock/000990</t>
        </is>
      </c>
      <c r="O35" s="139" t="n">
        <v>0.1789</v>
      </c>
      <c r="P35" s="4" t="inlineStr">
        <is>
          <t>IFRS연결</t>
        </is>
      </c>
      <c r="Q35" s="4" t="inlineStr">
        <is>
          <t>2026-10-14</t>
        </is>
      </c>
      <c r="R35" s="4" t="inlineStr">
        <is>
          <t>https://comp.wisereport.co.kr/company/ajax/c1050001_data.aspx?flag=2&amp;cmp_cd=000990&amp;finGubun=MAIN&amp;frq=0&amp;sDT=20261014&amp;chartType=image</t>
        </is>
      </c>
      <c r="S35" s="13" t="inlineStr">
        <is>
          <t>2027.12(E) ROE 직접 제공값과 대조 일치. 백분율 단위·종목코드 확인.</t>
        </is>
      </c>
      <c r="T35" s="140" t="n">
        <v>4010</v>
      </c>
      <c r="U35" s="140" t="n">
        <v>4165</v>
      </c>
      <c r="V35" s="4" t="inlineStr">
        <is>
          <t>IFRS연결</t>
        </is>
      </c>
      <c r="W35" s="15" t="inlineStr">
        <is>
          <t>https://comp.wisereport.co.kr/company/ajax/c1050001_data.aspx?flag=2&amp;cmp_cd=000990&amp;finGubun=MAIN&amp;frq=0&amp;sDT=20261014&amp;chartType=image</t>
        </is>
      </c>
      <c r="X35" s="15" t="inlineStr">
        <is>
          <t>27E 원표와 FnGuide 차이 10% 이내 또는 비교 자료 없음</t>
        </is>
      </c>
    </row>
    <row r="36" ht="21.95" customHeight="1">
      <c r="A36" s="4" t="inlineStr">
        <is>
          <t>뉴파워프라즈마</t>
        </is>
      </c>
      <c r="B36" s="137" t="inlineStr">
        <is>
          <t>144960</t>
        </is>
      </c>
      <c r="C36" s="138" t="n">
        <v>6021</v>
      </c>
      <c r="D36" s="138" t="n">
        <v>495</v>
      </c>
      <c r="E36" s="138" t="n">
        <v>820</v>
      </c>
      <c r="F36" s="138" t="n">
        <v>12.2</v>
      </c>
      <c r="G36" s="138" t="n">
        <v>7.3</v>
      </c>
      <c r="H36" s="6" t="inlineStr">
        <is>
          <t>†</t>
        </is>
      </c>
      <c r="I36" s="7" t="n">
        <v>10440</v>
      </c>
      <c r="J36" s="7" t="n">
        <v>43692624</v>
      </c>
      <c r="K36" s="9" t="inlineStr">
        <is>
          <t>2026-10-15 정규장 종가</t>
        </is>
      </c>
      <c r="L36" s="4" t="inlineStr">
        <is>
          <t>사용자 첨부 IMG_7104~7108 / 원문 https://m.blog.naver.com/stockvera/224440085158</t>
        </is>
      </c>
      <c r="M36" s="4" t="inlineStr">
        <is>
          <t>https://polling.finance.naver.com/api/realtime/domestic/stock/144960</t>
        </is>
      </c>
      <c r="N36" s="4" t="inlineStr">
        <is>
          <t>https://polling.finance.naver.com/api/realtime/domestic/stock/144960</t>
        </is>
      </c>
      <c r="O36" s="139" t="n">
        <v>0.139</v>
      </c>
      <c r="P36" s="4" t="inlineStr">
        <is>
          <t>IFRS연결</t>
        </is>
      </c>
      <c r="Q36" s="4" t="inlineStr">
        <is>
          <t>2026-10-14</t>
        </is>
      </c>
      <c r="R36" s="4" t="inlineStr">
        <is>
          <t>https://comp.wisereport.co.kr/company/ajax/c1050001_data.aspx?flag=2&amp;cmp_cd=144960&amp;finGubun=MAIN&amp;frq=0&amp;sDT=20261014&amp;chartType=image</t>
        </is>
      </c>
      <c r="S36" s="13" t="inlineStr">
        <is>
          <t>2027.12(E) ROE 직접 제공값과 대조 일치. 백분율 단위·종목코드 확인.</t>
        </is>
      </c>
      <c r="T36" s="140" t="n">
        <v>439</v>
      </c>
      <c r="U36" s="140" t="n">
        <v>691.67</v>
      </c>
      <c r="V36" s="4" t="inlineStr">
        <is>
          <t>IFRS연결</t>
        </is>
      </c>
      <c r="W36" s="15" t="inlineStr">
        <is>
          <t>https://comp.wisereport.co.kr/company/ajax/c1050001_data.aspx?flag=2&amp;cmp_cd=144960&amp;finGubun=MAIN&amp;frq=0&amp;sDT=20261014&amp;chartType=image</t>
        </is>
      </c>
      <c r="X36" s="15" t="inlineStr">
        <is>
          <t>27E 원표와 FnGuide 차이 10% 이내 또는 비교 자료 없음</t>
        </is>
      </c>
    </row>
    <row r="37" ht="60" customHeight="1">
      <c r="A37" s="4" t="inlineStr">
        <is>
          <t>피엠티</t>
        </is>
      </c>
      <c r="B37" s="137" t="inlineStr">
        <is>
          <t>147760</t>
        </is>
      </c>
      <c r="C37" s="138" t="n">
        <v>860</v>
      </c>
      <c r="D37" s="138" t="n">
        <v>70</v>
      </c>
      <c r="E37" s="138" t="n">
        <v>78</v>
      </c>
      <c r="F37" s="138" t="n">
        <v>12.3</v>
      </c>
      <c r="G37" s="138" t="n">
        <v>11</v>
      </c>
      <c r="H37" s="6" t="n"/>
      <c r="I37" s="7" t="n">
        <v>3110</v>
      </c>
      <c r="J37" s="7" t="n">
        <v>20000000</v>
      </c>
      <c r="K37" s="9" t="inlineStr">
        <is>
          <t>2026-10-15 정규장 종가</t>
        </is>
      </c>
      <c r="L37" s="4" t="inlineStr">
        <is>
          <t>사용자 첨부 IMG_7104~7108 / 원문 https://m.blog.naver.com/stockvera/224440085158</t>
        </is>
      </c>
      <c r="M37" s="4" t="inlineStr">
        <is>
          <t>https://polling.finance.naver.com/api/realtime/domestic/stock/147760</t>
        </is>
      </c>
      <c r="N37" s="4" t="inlineStr">
        <is>
          <t>https://polling.finance.naver.com/api/realtime/domestic/stock/147760</t>
        </is>
      </c>
      <c r="O37" s="139" t="inlineStr">
        <is>
          <t>미확인</t>
        </is>
      </c>
      <c r="P37" s="4" t="inlineStr">
        <is>
          <t>IFRS별도</t>
        </is>
      </c>
      <c r="Q37" s="4" t="inlineStr">
        <is>
          <t>2026-10-14</t>
        </is>
      </c>
      <c r="R37" s="4" t="inlineStr">
        <is>
          <t>https://comp.wisereport.co.kr/company/ajax/c1050001_data.aspx?flag=2&amp;cmp_cd=147760&amp;finGubun=MAIN&amp;frq=0&amp;sDT=20261014&amp;chartType=image</t>
        </is>
      </c>
      <c r="S37" s="13" t="inlineStr">
        <is>
          <t>2027년 이익 추정치는 있으나 2026/2027 BPS·ROE 미제공. 평균 예상 자기자본 미확인으로 계산 보류. 주재무·연결·별도 및 기업현황 화면 재조회.</t>
        </is>
      </c>
      <c r="T37" s="140" t="n">
        <v>11</v>
      </c>
      <c r="U37" s="140" t="n">
        <v>22</v>
      </c>
      <c r="V37" s="4" t="inlineStr">
        <is>
          <t>IFRS별도</t>
        </is>
      </c>
      <c r="W37" s="15" t="inlineStr">
        <is>
          <t>https://comp.wisereport.co.kr/company/ajax/c1050001_data.aspx?flag=2&amp;cmp_cd=147760&amp;finGubun=MAIN&amp;frq=0&amp;sDT=20261014&amp;chartType=image</t>
        </is>
      </c>
      <c r="X37" s="15" t="inlineStr">
        <is>
          <t>27E 원표와 FnGuide 차이 10% 이내 또는 비교 자료 없음</t>
        </is>
      </c>
    </row>
    <row r="38" ht="21.95" customHeight="1">
      <c r="A38" s="4" t="inlineStr">
        <is>
          <t>하나마이크론</t>
        </is>
      </c>
      <c r="B38" s="137" t="inlineStr">
        <is>
          <t>067310</t>
        </is>
      </c>
      <c r="C38" s="138" t="n">
        <v>32000</v>
      </c>
      <c r="D38" s="138" t="n">
        <v>2581</v>
      </c>
      <c r="E38" s="138" t="n">
        <v>4299</v>
      </c>
      <c r="F38" s="138" t="n">
        <v>12.5</v>
      </c>
      <c r="G38" s="138" t="n">
        <v>7.5</v>
      </c>
      <c r="H38" s="6" t="inlineStr">
        <is>
          <t>†</t>
        </is>
      </c>
      <c r="I38" s="7" t="n">
        <v>37100</v>
      </c>
      <c r="J38" s="7" t="n">
        <v>66490869</v>
      </c>
      <c r="K38" s="9" t="inlineStr">
        <is>
          <t>2026-10-15 정규장 종가</t>
        </is>
      </c>
      <c r="L38" s="4" t="inlineStr">
        <is>
          <t>사용자 첨부 IMG_7104~7108 / 원문 https://m.blog.naver.com/stockvera/224440085158</t>
        </is>
      </c>
      <c r="M38" s="4" t="inlineStr">
        <is>
          <t>https://polling.finance.naver.com/api/realtime/domestic/stock/067310</t>
        </is>
      </c>
      <c r="N38" s="4" t="inlineStr">
        <is>
          <t>https://polling.finance.naver.com/api/realtime/domestic/stock/067310</t>
        </is>
      </c>
      <c r="O38" s="139" t="n">
        <v>0.3238</v>
      </c>
      <c r="P38" s="4" t="inlineStr">
        <is>
          <t>IFRS연결</t>
        </is>
      </c>
      <c r="Q38" s="4" t="inlineStr">
        <is>
          <t>2026-10-14</t>
        </is>
      </c>
      <c r="R38" s="4" t="inlineStr">
        <is>
          <t>https://comp.wisereport.co.kr/company/ajax/c1050001_data.aspx?flag=2&amp;cmp_cd=067310&amp;finGubun=MAIN&amp;frq=0&amp;sDT=20261014&amp;chartType=image</t>
        </is>
      </c>
      <c r="S38" s="13" t="inlineStr">
        <is>
          <t>2027.12(E) ROE 직접 제공값과 대조 일치. 백분율 단위·종목코드 확인.</t>
        </is>
      </c>
      <c r="T38" s="140" t="n">
        <v>2379.5</v>
      </c>
      <c r="U38" s="140" t="n">
        <v>4170.5</v>
      </c>
      <c r="V38" s="4" t="inlineStr">
        <is>
          <t>IFRS연결</t>
        </is>
      </c>
      <c r="W38" s="15" t="inlineStr">
        <is>
          <t>https://comp.wisereport.co.kr/company/ajax/c1050001_data.aspx?flag=2&amp;cmp_cd=067310&amp;finGubun=MAIN&amp;frq=0&amp;sDT=20261014&amp;chartType=image</t>
        </is>
      </c>
      <c r="X38" s="15" t="inlineStr">
        <is>
          <t>27E 원표와 FnGuide 차이 10% 이내 또는 비교 자료 없음</t>
        </is>
      </c>
    </row>
    <row r="39" ht="21.95" customHeight="1">
      <c r="A39" s="4" t="inlineStr">
        <is>
          <t>하나머티리얼즈</t>
        </is>
      </c>
      <c r="B39" s="137" t="inlineStr">
        <is>
          <t>166090</t>
        </is>
      </c>
      <c r="C39" s="138" t="n">
        <v>13000</v>
      </c>
      <c r="D39" s="138" t="n">
        <v>1008</v>
      </c>
      <c r="E39" s="138" t="n">
        <v>1316</v>
      </c>
      <c r="F39" s="138" t="n">
        <v>12.6</v>
      </c>
      <c r="G39" s="138" t="n">
        <v>9.6</v>
      </c>
      <c r="H39" s="6" t="n"/>
      <c r="I39" s="7" t="n">
        <v>50300</v>
      </c>
      <c r="J39" s="7" t="n">
        <v>19777674</v>
      </c>
      <c r="K39" s="9" t="inlineStr">
        <is>
          <t>2026-10-15 정규장 종가</t>
        </is>
      </c>
      <c r="L39" s="4" t="inlineStr">
        <is>
          <t>사용자 첨부 IMG_7104~7108 / 원문 https://m.blog.naver.com/stockvera/224440085158</t>
        </is>
      </c>
      <c r="M39" s="4" t="inlineStr">
        <is>
          <t>https://polling.finance.naver.com/api/realtime/domestic/stock/166090</t>
        </is>
      </c>
      <c r="N39" s="4" t="inlineStr">
        <is>
          <t>https://polling.finance.naver.com/api/realtime/domestic/stock/166090</t>
        </is>
      </c>
      <c r="O39" s="139" t="n">
        <v>0.1514</v>
      </c>
      <c r="P39" s="4" t="inlineStr">
        <is>
          <t>IFRS연결</t>
        </is>
      </c>
      <c r="Q39" s="4" t="inlineStr">
        <is>
          <t>2026-10-14</t>
        </is>
      </c>
      <c r="R39" s="4" t="inlineStr">
        <is>
          <t>https://comp.wisereport.co.kr/company/ajax/c1050001_data.aspx?flag=2&amp;cmp_cd=166090&amp;finGubun=MAIN&amp;frq=0&amp;sDT=20261014&amp;chartType=image</t>
        </is>
      </c>
      <c r="S39" s="13" t="inlineStr">
        <is>
          <t>2027.12(E) ROE 직접 제공값과 대조 일치. 백분율 단위·종목코드 확인.</t>
        </is>
      </c>
      <c r="T39" s="140" t="n">
        <v>736.5</v>
      </c>
      <c r="U39" s="140" t="n">
        <v>1000.2</v>
      </c>
      <c r="V39" s="4" t="inlineStr">
        <is>
          <t>IFRS연결</t>
        </is>
      </c>
      <c r="W39" s="15" t="inlineStr">
        <is>
          <t>https://comp.wisereport.co.kr/company/ajax/c1050001_data.aspx?flag=2&amp;cmp_cd=166090&amp;finGubun=MAIN&amp;frq=0&amp;sDT=20261014&amp;chartType=image</t>
        </is>
      </c>
      <c r="X39" s="15" t="inlineStr">
        <is>
          <t>27E 원표와 FnGuide 차이 10% 이내 또는 비교 자료 없음</t>
        </is>
      </c>
    </row>
    <row r="40" ht="21.95" customHeight="1">
      <c r="A40" s="4" t="inlineStr">
        <is>
          <t>펨트론</t>
        </is>
      </c>
      <c r="B40" s="137" t="inlineStr">
        <is>
          <t>168360</t>
        </is>
      </c>
      <c r="C40" s="138" t="n">
        <v>3323</v>
      </c>
      <c r="D40" s="138" t="n">
        <v>261</v>
      </c>
      <c r="E40" s="138" t="n">
        <v>336</v>
      </c>
      <c r="F40" s="138" t="n">
        <v>12.7</v>
      </c>
      <c r="G40" s="138" t="n">
        <v>9.9</v>
      </c>
      <c r="H40" s="6" t="n"/>
      <c r="I40" s="7" t="n">
        <v>10530</v>
      </c>
      <c r="J40" s="7" t="n">
        <v>22392557</v>
      </c>
      <c r="K40" s="9" t="inlineStr">
        <is>
          <t>2026-10-15 정규장 종가</t>
        </is>
      </c>
      <c r="L40" s="4" t="inlineStr">
        <is>
          <t>사용자 첨부 IMG_7104~7108 / 원문 https://m.blog.naver.com/stockvera/224440085158</t>
        </is>
      </c>
      <c r="M40" s="4" t="inlineStr">
        <is>
          <t>https://polling.finance.naver.com/api/realtime/domestic/stock/168360</t>
        </is>
      </c>
      <c r="N40" s="4" t="inlineStr">
        <is>
          <t>https://polling.finance.naver.com/api/realtime/domestic/stock/168360</t>
        </is>
      </c>
      <c r="O40" s="139" t="n">
        <v>0.5073</v>
      </c>
      <c r="P40" s="4" t="inlineStr">
        <is>
          <t>IFRS연결</t>
        </is>
      </c>
      <c r="Q40" s="4" t="inlineStr">
        <is>
          <t>2026-10-14</t>
        </is>
      </c>
      <c r="R40" s="4" t="inlineStr">
        <is>
          <t>https://comp.wisereport.co.kr/company/ajax/c1050001_data.aspx?flag=2&amp;cmp_cd=168360&amp;finGubun=MAIN&amp;frq=0&amp;sDT=20261014&amp;chartType=image</t>
        </is>
      </c>
      <c r="S40" s="13" t="inlineStr">
        <is>
          <t>2027.12(E) ROE 직접 제공값과 대조 일치. 백분율 단위·종목코드 확인.</t>
        </is>
      </c>
      <c r="T40" s="140" t="n">
        <v>146</v>
      </c>
      <c r="U40" s="140" t="n">
        <v>203</v>
      </c>
      <c r="V40" s="4" t="inlineStr">
        <is>
          <t>IFRS연결</t>
        </is>
      </c>
      <c r="W40" s="15" t="inlineStr">
        <is>
          <t>https://comp.wisereport.co.kr/company/ajax/c1050001_data.aspx?flag=2&amp;cmp_cd=168360&amp;finGubun=MAIN&amp;frq=0&amp;sDT=20261014&amp;chartType=image</t>
        </is>
      </c>
      <c r="X40" s="15" t="inlineStr">
        <is>
          <t>27E 원표와 FnGuide 차이 10% 이내 또는 비교 자료 없음</t>
        </is>
      </c>
    </row>
    <row r="41" ht="21.95" customHeight="1">
      <c r="A41" s="4" t="inlineStr">
        <is>
          <t>와이씨켐</t>
        </is>
      </c>
      <c r="B41" s="137" t="inlineStr">
        <is>
          <t>112290</t>
        </is>
      </c>
      <c r="C41" s="138" t="n">
        <v>2378</v>
      </c>
      <c r="D41" s="138" t="n">
        <v>186</v>
      </c>
      <c r="E41" s="138" t="n">
        <v>214</v>
      </c>
      <c r="F41" s="138" t="n">
        <v>12.8</v>
      </c>
      <c r="G41" s="138" t="n">
        <v>11.1</v>
      </c>
      <c r="H41" s="6" t="n"/>
      <c r="I41" s="7" t="n">
        <v>9390</v>
      </c>
      <c r="J41" s="7" t="n">
        <v>20221090</v>
      </c>
      <c r="K41" s="9" t="inlineStr">
        <is>
          <t>2026-10-15 정규장 종가</t>
        </is>
      </c>
      <c r="L41" s="4" t="inlineStr">
        <is>
          <t>사용자 첨부 IMG_7104~7108 / 원문 https://m.blog.naver.com/stockvera/224440085158</t>
        </is>
      </c>
      <c r="M41" s="4" t="inlineStr">
        <is>
          <t>https://polling.finance.naver.com/api/realtime/domestic/stock/112290</t>
        </is>
      </c>
      <c r="N41" s="4" t="inlineStr">
        <is>
          <t>https://polling.finance.naver.com/api/realtime/domestic/stock/112290</t>
        </is>
      </c>
      <c r="O41" s="139" t="n">
        <v>0.3024</v>
      </c>
      <c r="P41" s="4" t="inlineStr">
        <is>
          <t>IFRS별도</t>
        </is>
      </c>
      <c r="Q41" s="4" t="inlineStr">
        <is>
          <t>2026-10-14</t>
        </is>
      </c>
      <c r="R41" s="4" t="inlineStr">
        <is>
          <t>https://comp.wisereport.co.kr/company/ajax/c1050001_data.aspx?flag=2&amp;cmp_cd=112290&amp;finGubun=MAIN&amp;frq=0&amp;sDT=20261014&amp;chartType=image</t>
        </is>
      </c>
      <c r="S41" s="13" t="inlineStr">
        <is>
          <t>2027.12(E) ROE 직접 제공값과 대조 일치. 백분율 단위·종목코드 확인.</t>
        </is>
      </c>
      <c r="T41" s="140" t="n">
        <v>80</v>
      </c>
      <c r="U41" s="140" t="n">
        <v>95</v>
      </c>
      <c r="V41" s="4" t="inlineStr">
        <is>
          <t>IFRS별도</t>
        </is>
      </c>
      <c r="W41" s="15" t="inlineStr">
        <is>
          <t>https://comp.wisereport.co.kr/company/ajax/c1050001_data.aspx?flag=2&amp;cmp_cd=112290&amp;finGubun=MAIN&amp;frq=0&amp;sDT=20261014&amp;chartType=image</t>
        </is>
      </c>
      <c r="X41" s="15" t="inlineStr">
        <is>
          <t>27E 원표와 FnGuide 차이 10% 이내 또는 비교 자료 없음</t>
        </is>
      </c>
    </row>
    <row r="42" ht="21.95" customHeight="1">
      <c r="A42" s="4" t="inlineStr">
        <is>
          <t>큐알티</t>
        </is>
      </c>
      <c r="B42" s="137" t="inlineStr">
        <is>
          <t>405100</t>
        </is>
      </c>
      <c r="C42" s="138" t="n">
        <v>2047</v>
      </c>
      <c r="D42" s="138" t="n">
        <v>160</v>
      </c>
      <c r="E42" s="138" t="n">
        <v>215</v>
      </c>
      <c r="F42" s="138" t="n">
        <v>12.8</v>
      </c>
      <c r="G42" s="138" t="n">
        <v>9.5</v>
      </c>
      <c r="H42" s="6" t="n"/>
      <c r="I42" s="7" t="n">
        <v>16630</v>
      </c>
      <c r="J42" s="7" t="n">
        <v>12289301</v>
      </c>
      <c r="K42" s="9" t="inlineStr">
        <is>
          <t>2026-10-15 정규장 종가</t>
        </is>
      </c>
      <c r="L42" s="4" t="inlineStr">
        <is>
          <t>사용자 첨부 IMG_7104~7108 / 원문 https://m.blog.naver.com/stockvera/224440085158</t>
        </is>
      </c>
      <c r="M42" s="4" t="inlineStr">
        <is>
          <t>https://polling.finance.naver.com/api/realtime/domestic/stock/405100</t>
        </is>
      </c>
      <c r="N42" s="4" t="inlineStr">
        <is>
          <t>https://polling.finance.naver.com/api/realtime/domestic/stock/405100</t>
        </is>
      </c>
      <c r="O42" s="139" t="n">
        <v>0.1624</v>
      </c>
      <c r="P42" s="4" t="inlineStr">
        <is>
          <t>IFRS연결</t>
        </is>
      </c>
      <c r="Q42" s="4" t="inlineStr">
        <is>
          <t>2026-10-14</t>
        </is>
      </c>
      <c r="R42" s="4" t="inlineStr">
        <is>
          <t>https://comp.wisereport.co.kr/company/ajax/c1050001_data.aspx?flag=2&amp;cmp_cd=405100&amp;finGubun=MAIN&amp;frq=0&amp;sDT=20261014&amp;chartType=image</t>
        </is>
      </c>
      <c r="S42" s="13" t="inlineStr">
        <is>
          <t>2027.12(E) ROE 직접 제공값과 대조 일치. 백분율 단위·종목코드 확인.</t>
        </is>
      </c>
      <c r="T42" s="140" t="n">
        <v>90</v>
      </c>
      <c r="U42" s="140" t="n">
        <v>122</v>
      </c>
      <c r="V42" s="4" t="inlineStr">
        <is>
          <t>IFRS연결</t>
        </is>
      </c>
      <c r="W42" s="15" t="inlineStr">
        <is>
          <t>https://comp.wisereport.co.kr/company/ajax/c1050001_data.aspx?flag=2&amp;cmp_cd=405100&amp;finGubun=MAIN&amp;frq=0&amp;sDT=20261014&amp;chartType=image</t>
        </is>
      </c>
      <c r="X42" s="15" t="inlineStr">
        <is>
          <t>27E 원표와 FnGuide 차이 10% 이내 또는 비교 자료 없음</t>
        </is>
      </c>
    </row>
    <row r="43" ht="21.95" customHeight="1">
      <c r="A43" s="4" t="inlineStr">
        <is>
          <t>오킨스전자</t>
        </is>
      </c>
      <c r="B43" s="137" t="inlineStr">
        <is>
          <t>080580</t>
        </is>
      </c>
      <c r="C43" s="138" t="n">
        <v>5916</v>
      </c>
      <c r="D43" s="138" t="n">
        <v>456</v>
      </c>
      <c r="E43" s="138" t="n">
        <v>558</v>
      </c>
      <c r="F43" s="138" t="n">
        <v>13</v>
      </c>
      <c r="G43" s="138" t="n">
        <v>10.6</v>
      </c>
      <c r="H43" s="6" t="n"/>
      <c r="I43" s="7" t="n">
        <v>23850</v>
      </c>
      <c r="J43" s="7" t="n">
        <v>21090955</v>
      </c>
      <c r="K43" s="9" t="inlineStr">
        <is>
          <t>2026-10-15 정규장 종가</t>
        </is>
      </c>
      <c r="L43" s="4" t="inlineStr">
        <is>
          <t>사용자 첨부 IMG_7104~7108 / 원문 https://m.blog.naver.com/stockvera/224440085158</t>
        </is>
      </c>
      <c r="M43" s="4" t="inlineStr">
        <is>
          <t>https://polling.finance.naver.com/api/realtime/domestic/stock/080580</t>
        </is>
      </c>
      <c r="N43" s="4" t="inlineStr">
        <is>
          <t>https://polling.finance.naver.com/api/realtime/domestic/stock/080580</t>
        </is>
      </c>
      <c r="O43" s="139" t="n">
        <v>0.4454</v>
      </c>
      <c r="P43" s="4" t="inlineStr">
        <is>
          <t>IFRS연결</t>
        </is>
      </c>
      <c r="Q43" s="4" t="inlineStr">
        <is>
          <t>2026-10-14</t>
        </is>
      </c>
      <c r="R43" s="4" t="inlineStr">
        <is>
          <t>https://comp.wisereport.co.kr/company/ajax/c1050001_data.aspx?flag=2&amp;cmp_cd=080580&amp;finGubun=MAIN&amp;frq=0&amp;sDT=20261014&amp;chartType=image</t>
        </is>
      </c>
      <c r="S43" s="13" t="inlineStr">
        <is>
          <t>2027.12(E) ROE 직접 제공값과 대조 일치. 백분율 단위·종목코드 확인.</t>
        </is>
      </c>
      <c r="T43" s="140" t="n">
        <v>248</v>
      </c>
      <c r="U43" s="140" t="n">
        <v>296.5</v>
      </c>
      <c r="V43" s="4" t="inlineStr">
        <is>
          <t>IFRS연결</t>
        </is>
      </c>
      <c r="W43" s="15" t="inlineStr">
        <is>
          <t>https://comp.wisereport.co.kr/company/ajax/c1050001_data.aspx?flag=2&amp;cmp_cd=080580&amp;finGubun=MAIN&amp;frq=0&amp;sDT=20261014&amp;chartType=image</t>
        </is>
      </c>
      <c r="X43" s="15" t="inlineStr">
        <is>
          <t>27E 원표와 FnGuide 차이 10% 이내 또는 비교 자료 없음</t>
        </is>
      </c>
    </row>
    <row r="44" ht="21.95" customHeight="1">
      <c r="A44" s="4" t="inlineStr">
        <is>
          <t>GST</t>
        </is>
      </c>
      <c r="B44" s="137" t="inlineStr">
        <is>
          <t>083450</t>
        </is>
      </c>
      <c r="C44" s="138" t="n">
        <v>10000</v>
      </c>
      <c r="D44" s="138" t="n">
        <v>775</v>
      </c>
      <c r="E44" s="138" t="n">
        <v>946</v>
      </c>
      <c r="F44" s="138" t="n">
        <v>13.1</v>
      </c>
      <c r="G44" s="138" t="n">
        <v>10.8</v>
      </c>
      <c r="H44" s="6" t="n"/>
      <c r="I44" s="7" t="n">
        <v>43600</v>
      </c>
      <c r="J44" s="7" t="n">
        <v>18430000</v>
      </c>
      <c r="K44" s="9" t="inlineStr">
        <is>
          <t>2026-10-15 정규장 종가</t>
        </is>
      </c>
      <c r="L44" s="4" t="inlineStr">
        <is>
          <t>사용자 첨부 IMG_7104~7108 / 원문 https://m.blog.naver.com/stockvera/224440085158</t>
        </is>
      </c>
      <c r="M44" s="4" t="inlineStr">
        <is>
          <t>https://polling.finance.naver.com/api/realtime/domestic/stock/083450</t>
        </is>
      </c>
      <c r="N44" s="4" t="inlineStr">
        <is>
          <t>https://polling.finance.naver.com/api/realtime/domestic/stock/083450</t>
        </is>
      </c>
      <c r="O44" s="139" t="n">
        <v>0.2019</v>
      </c>
      <c r="P44" s="4" t="inlineStr">
        <is>
          <t>IFRS연결</t>
        </is>
      </c>
      <c r="Q44" s="4" t="inlineStr">
        <is>
          <t>2026-10-14</t>
        </is>
      </c>
      <c r="R44" s="4" t="inlineStr">
        <is>
          <t>https://comp.wisereport.co.kr/company/ajax/c1050001_data.aspx?flag=2&amp;cmp_cd=083450&amp;finGubun=MAIN&amp;frq=0&amp;sDT=20261014&amp;chartType=image</t>
        </is>
      </c>
      <c r="S44" s="13" t="inlineStr">
        <is>
          <t>2027.12(E) ROE 직접 제공값과 대조 일치. 백분율 단위·종목코드 확인.</t>
        </is>
      </c>
      <c r="T44" s="140" t="n">
        <v>627.33</v>
      </c>
      <c r="U44" s="140" t="n">
        <v>759</v>
      </c>
      <c r="V44" s="4" t="inlineStr">
        <is>
          <t>IFRS연결</t>
        </is>
      </c>
      <c r="W44" s="15" t="inlineStr">
        <is>
          <t>https://comp.wisereport.co.kr/company/ajax/c1050001_data.aspx?flag=2&amp;cmp_cd=083450&amp;finGubun=MAIN&amp;frq=0&amp;sDT=20261014&amp;chartType=image</t>
        </is>
      </c>
      <c r="X44" s="15" t="inlineStr">
        <is>
          <t>27E 원표와 FnGuide 차이 10% 이내 또는 비교 자료 없음</t>
        </is>
      </c>
    </row>
    <row r="45" ht="21.95" customHeight="1">
      <c r="A45" s="4" t="inlineStr">
        <is>
          <t>비씨엔씨</t>
        </is>
      </c>
      <c r="B45" s="137" t="inlineStr">
        <is>
          <t>146320</t>
        </is>
      </c>
      <c r="C45" s="138" t="n">
        <v>1447</v>
      </c>
      <c r="D45" s="138" t="n">
        <v>107</v>
      </c>
      <c r="E45" s="138" t="n">
        <v>162</v>
      </c>
      <c r="F45" s="138" t="n">
        <v>13.5</v>
      </c>
      <c r="G45" s="138" t="n">
        <v>8.9</v>
      </c>
      <c r="H45" s="6" t="n"/>
      <c r="I45" s="7" t="n">
        <v>9540</v>
      </c>
      <c r="J45" s="7" t="n">
        <v>12797923</v>
      </c>
      <c r="K45" s="9" t="inlineStr">
        <is>
          <t>2026-10-15 정규장 종가</t>
        </is>
      </c>
      <c r="L45" s="4" t="inlineStr">
        <is>
          <t>사용자 첨부 IMG_7104~7108 / 원문 https://m.blog.naver.com/stockvera/224440085158</t>
        </is>
      </c>
      <c r="M45" s="4" t="inlineStr">
        <is>
          <t>https://polling.finance.naver.com/api/realtime/domestic/stock/146320</t>
        </is>
      </c>
      <c r="N45" s="4" t="inlineStr">
        <is>
          <t>https://polling.finance.naver.com/api/realtime/domestic/stock/146320</t>
        </is>
      </c>
      <c r="O45" s="139" t="n">
        <v>0.1214</v>
      </c>
      <c r="P45" s="4" t="inlineStr">
        <is>
          <t>IFRS연결</t>
        </is>
      </c>
      <c r="Q45" s="4" t="inlineStr">
        <is>
          <t>2026-10-14</t>
        </is>
      </c>
      <c r="R45" s="4" t="inlineStr">
        <is>
          <t>https://comp.wisereport.co.kr/company/ajax/c1050001_data.aspx?flag=2&amp;cmp_cd=146320&amp;finGubun=MAIN&amp;frq=0&amp;sDT=20261014&amp;chartType=image</t>
        </is>
      </c>
      <c r="S45" s="13" t="inlineStr">
        <is>
          <t>2027.12(E) ROE 직접 제공값과 대조 일치. 백분율 단위·종목코드 확인.</t>
        </is>
      </c>
      <c r="T45" s="140" t="n">
        <v>43</v>
      </c>
      <c r="U45" s="140" t="n">
        <v>93</v>
      </c>
      <c r="V45" s="4" t="inlineStr">
        <is>
          <t>IFRS연결</t>
        </is>
      </c>
      <c r="W45" s="15" t="inlineStr">
        <is>
          <t>https://comp.wisereport.co.kr/company/ajax/c1050001_data.aspx?flag=2&amp;cmp_cd=146320&amp;finGubun=MAIN&amp;frq=0&amp;sDT=20261014&amp;chartType=image</t>
        </is>
      </c>
      <c r="X45" s="15" t="inlineStr">
        <is>
          <t>27E 원표와 FnGuide 차이 10% 이내 또는 비교 자료 없음</t>
        </is>
      </c>
    </row>
    <row r="46" ht="21.95" customHeight="1">
      <c r="A46" s="4" t="inlineStr">
        <is>
          <t>예스티</t>
        </is>
      </c>
      <c r="B46" s="137" t="inlineStr">
        <is>
          <t>122640</t>
        </is>
      </c>
      <c r="C46" s="138" t="n">
        <v>6712</v>
      </c>
      <c r="D46" s="138" t="n">
        <v>496</v>
      </c>
      <c r="E46" s="138" t="n">
        <v>656</v>
      </c>
      <c r="F46" s="138" t="n">
        <v>13.5</v>
      </c>
      <c r="G46" s="138" t="n">
        <v>10.2</v>
      </c>
      <c r="H46" s="6" t="n"/>
      <c r="I46" s="7" t="n">
        <v>24150</v>
      </c>
      <c r="J46" s="7" t="n">
        <v>21651325</v>
      </c>
      <c r="K46" s="9" t="inlineStr">
        <is>
          <t>2026-10-15 정규장 종가</t>
        </is>
      </c>
      <c r="L46" s="4" t="inlineStr">
        <is>
          <t>사용자 첨부 IMG_7104~7108 / 원문 https://m.blog.naver.com/stockvera/224440085158</t>
        </is>
      </c>
      <c r="M46" s="4" t="inlineStr">
        <is>
          <t>https://polling.finance.naver.com/api/realtime/domestic/stock/122640</t>
        </is>
      </c>
      <c r="N46" s="4" t="inlineStr">
        <is>
          <t>https://polling.finance.naver.com/api/realtime/domestic/stock/122640</t>
        </is>
      </c>
      <c r="O46" s="139" t="n">
        <v>0.2834</v>
      </c>
      <c r="P46" s="4" t="inlineStr">
        <is>
          <t>IFRS연결</t>
        </is>
      </c>
      <c r="Q46" s="4" t="inlineStr">
        <is>
          <t>2026-10-14</t>
        </is>
      </c>
      <c r="R46" s="4" t="inlineStr">
        <is>
          <t>https://comp.wisereport.co.kr/company/ajax/c1050001_data.aspx?flag=2&amp;cmp_cd=122640&amp;finGubun=MAIN&amp;frq=0&amp;sDT=20261014&amp;chartType=image</t>
        </is>
      </c>
      <c r="S46" s="13" t="inlineStr">
        <is>
          <t>2027.12(E) ROE 직접 제공값과 대조 일치. 백분율 단위·종목코드 확인.</t>
        </is>
      </c>
      <c r="T46" s="140" t="n">
        <v>182</v>
      </c>
      <c r="U46" s="140" t="n">
        <v>254</v>
      </c>
      <c r="V46" s="4" t="inlineStr">
        <is>
          <t>IFRS연결</t>
        </is>
      </c>
      <c r="W46" s="15" t="inlineStr">
        <is>
          <t>https://comp.wisereport.co.kr/company/ajax/c1050001_data.aspx?flag=2&amp;cmp_cd=122640&amp;finGubun=MAIN&amp;frq=0&amp;sDT=20261014&amp;chartType=image</t>
        </is>
      </c>
      <c r="X46" s="15" t="inlineStr">
        <is>
          <t>27E 원표와 FnGuide 차이 10% 이내 또는 비교 자료 없음</t>
        </is>
      </c>
    </row>
    <row r="47" ht="21.95" customHeight="1">
      <c r="A47" s="4" t="inlineStr">
        <is>
          <t>브이엠</t>
        </is>
      </c>
      <c r="B47" s="137" t="inlineStr">
        <is>
          <t>089970</t>
        </is>
      </c>
      <c r="C47" s="138" t="n">
        <v>16000</v>
      </c>
      <c r="D47" s="138" t="n">
        <v>1187</v>
      </c>
      <c r="E47" s="138" t="n">
        <v>1358</v>
      </c>
      <c r="F47" s="138" t="n">
        <v>13.9</v>
      </c>
      <c r="G47" s="138" t="n">
        <v>12.1</v>
      </c>
      <c r="H47" s="6" t="n"/>
      <c r="I47" s="7" t="n">
        <v>45050</v>
      </c>
      <c r="J47" s="7" t="n">
        <v>26556065</v>
      </c>
      <c r="K47" s="9" t="inlineStr">
        <is>
          <t>2026-10-15 정규장 종가</t>
        </is>
      </c>
      <c r="L47" s="4" t="inlineStr">
        <is>
          <t>사용자 첨부 IMG_7104~7108 / 원문 https://m.blog.naver.com/stockvera/224440085158</t>
        </is>
      </c>
      <c r="M47" s="4" t="inlineStr">
        <is>
          <t>https://polling.finance.naver.com/api/realtime/domestic/stock/089970</t>
        </is>
      </c>
      <c r="N47" s="4" t="inlineStr">
        <is>
          <t>https://polling.finance.naver.com/api/realtime/domestic/stock/089970</t>
        </is>
      </c>
      <c r="O47" s="139" t="n">
        <v>0.396</v>
      </c>
      <c r="P47" s="4" t="inlineStr">
        <is>
          <t>IFRS연결</t>
        </is>
      </c>
      <c r="Q47" s="4" t="inlineStr">
        <is>
          <t>2026-10-14</t>
        </is>
      </c>
      <c r="R47" s="4" t="inlineStr">
        <is>
          <t>https://comp.wisereport.co.kr/company/ajax/c1050001_data.aspx?flag=2&amp;cmp_cd=089970&amp;finGubun=MAIN&amp;frq=0&amp;sDT=20261014&amp;chartType=image</t>
        </is>
      </c>
      <c r="S47" s="13" t="inlineStr">
        <is>
          <t>2027.12(E) ROE 직접 제공값과 대조 일치. 백분율 단위·종목코드 확인.</t>
        </is>
      </c>
      <c r="T47" s="140" t="n">
        <v>810</v>
      </c>
      <c r="U47" s="140" t="n">
        <v>926</v>
      </c>
      <c r="V47" s="4" t="inlineStr">
        <is>
          <t>IFRS연결</t>
        </is>
      </c>
      <c r="W47" s="15" t="inlineStr">
        <is>
          <t>https://comp.wisereport.co.kr/company/ajax/c1050001_data.aspx?flag=2&amp;cmp_cd=089970&amp;finGubun=MAIN&amp;frq=0&amp;sDT=20261014&amp;chartType=image</t>
        </is>
      </c>
      <c r="X47" s="15" t="inlineStr">
        <is>
          <t>27E 원표와 FnGuide 차이 10% 이내 또는 비교 자료 없음</t>
        </is>
      </c>
    </row>
    <row r="48" ht="21.95" customHeight="1">
      <c r="A48" s="4" t="inlineStr">
        <is>
          <t>한솔케미칼</t>
        </is>
      </c>
      <c r="B48" s="137" t="inlineStr">
        <is>
          <t>014680</t>
        </is>
      </c>
      <c r="C48" s="138" t="n">
        <v>28000</v>
      </c>
      <c r="D48" s="138" t="n">
        <v>2038</v>
      </c>
      <c r="E48" s="138" t="n">
        <v>2276</v>
      </c>
      <c r="F48" s="138" t="n">
        <v>14</v>
      </c>
      <c r="G48" s="138" t="n">
        <v>12.5</v>
      </c>
      <c r="H48" s="6" t="n"/>
      <c r="I48" s="7" t="n">
        <v>231500</v>
      </c>
      <c r="J48" s="7" t="n">
        <v>10794036</v>
      </c>
      <c r="K48" s="9" t="inlineStr">
        <is>
          <t>2026-10-15 정규장 종가</t>
        </is>
      </c>
      <c r="L48" s="4" t="inlineStr">
        <is>
          <t>사용자 첨부 IMG_7104~7108 / 원문 https://m.blog.naver.com/stockvera/224440085158</t>
        </is>
      </c>
      <c r="M48" s="4" t="inlineStr">
        <is>
          <t>https://polling.finance.naver.com/api/realtime/domestic/stock/014680</t>
        </is>
      </c>
      <c r="N48" s="4" t="inlineStr">
        <is>
          <t>https://polling.finance.naver.com/api/realtime/domestic/stock/014680</t>
        </is>
      </c>
      <c r="O48" s="139" t="n">
        <v>0.1576</v>
      </c>
      <c r="P48" s="4" t="inlineStr">
        <is>
          <t>IFRS연결</t>
        </is>
      </c>
      <c r="Q48" s="4" t="inlineStr">
        <is>
          <t>2026-10-14</t>
        </is>
      </c>
      <c r="R48" s="4" t="inlineStr">
        <is>
          <t>https://comp.wisereport.co.kr/company/ajax/c1050001_data.aspx?flag=2&amp;cmp_cd=014680&amp;finGubun=MAIN&amp;frq=0&amp;sDT=20261014&amp;chartType=image</t>
        </is>
      </c>
      <c r="S48" s="13" t="inlineStr">
        <is>
          <t>2027.12(E) ROE 직접 제공값과 대조 일치. 백분율 단위·종목코드 확인.</t>
        </is>
      </c>
      <c r="T48" s="140" t="n">
        <v>1681</v>
      </c>
      <c r="U48" s="140" t="n">
        <v>1789.33</v>
      </c>
      <c r="V48" s="4" t="inlineStr">
        <is>
          <t>IFRS연결</t>
        </is>
      </c>
      <c r="W48" s="15" t="inlineStr">
        <is>
          <t>https://comp.wisereport.co.kr/company/ajax/c1050001_data.aspx?flag=2&amp;cmp_cd=014680&amp;finGubun=MAIN&amp;frq=0&amp;sDT=20261014&amp;chartType=image</t>
        </is>
      </c>
      <c r="X48" s="15" t="inlineStr">
        <is>
          <t>27E 원표와 FnGuide 차이 10% 이내 또는 비교 자료 없음</t>
        </is>
      </c>
    </row>
    <row r="49" ht="21.95" customHeight="1">
      <c r="A49" s="4" t="inlineStr">
        <is>
          <t>에이디테크놀로지</t>
        </is>
      </c>
      <c r="B49" s="137" t="inlineStr">
        <is>
          <t>200710</t>
        </is>
      </c>
      <c r="C49" s="138" t="n">
        <v>3514</v>
      </c>
      <c r="D49" s="138" t="n">
        <v>251</v>
      </c>
      <c r="E49" s="138" t="n">
        <v>307</v>
      </c>
      <c r="F49" s="138" t="n">
        <v>14</v>
      </c>
      <c r="G49" s="138" t="n">
        <v>11.4</v>
      </c>
      <c r="H49" s="6" t="n"/>
      <c r="I49" s="7" t="n">
        <v>20300</v>
      </c>
      <c r="J49" s="7" t="n">
        <v>13462007</v>
      </c>
      <c r="K49" s="9" t="inlineStr">
        <is>
          <t>2026-10-15 정규장 종가</t>
        </is>
      </c>
      <c r="L49" s="4" t="inlineStr">
        <is>
          <t>사용자 첨부 IMG_7104~7108 / 원문 https://m.blog.naver.com/stockvera/224440085158</t>
        </is>
      </c>
      <c r="M49" s="4" t="inlineStr">
        <is>
          <t>https://polling.finance.naver.com/api/realtime/domestic/stock/200710</t>
        </is>
      </c>
      <c r="N49" s="4" t="inlineStr">
        <is>
          <t>https://polling.finance.naver.com/api/realtime/domestic/stock/200710</t>
        </is>
      </c>
      <c r="O49" s="139" t="n">
        <v>0.1363</v>
      </c>
      <c r="P49" s="4" t="inlineStr">
        <is>
          <t>IFRS연결</t>
        </is>
      </c>
      <c r="Q49" s="4" t="inlineStr">
        <is>
          <t>2026-10-14</t>
        </is>
      </c>
      <c r="R49" s="4" t="inlineStr">
        <is>
          <t>https://comp.wisereport.co.kr/company/ajax/c1050001_data.aspx?flag=2&amp;cmp_cd=200710&amp;finGubun=MAIN&amp;frq=0&amp;sDT=20261014&amp;chartType=image</t>
        </is>
      </c>
      <c r="S49" s="13" t="inlineStr">
        <is>
          <t>2027.12(E) ROE 직접 제공값과 대조 일치. 백분율 단위·종목코드 확인.</t>
        </is>
      </c>
      <c r="T49" s="140" t="n">
        <v>59</v>
      </c>
      <c r="U49" s="140" t="n">
        <v>74.5</v>
      </c>
      <c r="V49" s="4" t="inlineStr">
        <is>
          <t>IFRS연결</t>
        </is>
      </c>
      <c r="W49" s="15" t="inlineStr">
        <is>
          <t>https://comp.wisereport.co.kr/company/ajax/c1050001_data.aspx?flag=2&amp;cmp_cd=200710&amp;finGubun=MAIN&amp;frq=0&amp;sDT=20261014&amp;chartType=image</t>
        </is>
      </c>
      <c r="X49" s="15" t="inlineStr">
        <is>
          <t>순이익: 기존 27E 251.00억원 vs FnGuide 207.50억원 (-17.3%); 영업이익: 기존 27E 307.00억원 vs FnGuide 238.00억원 (-22.5%)</t>
        </is>
      </c>
    </row>
    <row r="50" ht="21.95" customHeight="1">
      <c r="A50" s="4" t="inlineStr">
        <is>
          <t>덕산하이메탈</t>
        </is>
      </c>
      <c r="B50" s="137" t="inlineStr">
        <is>
          <t>077360</t>
        </is>
      </c>
      <c r="C50" s="138" t="n">
        <v>6075</v>
      </c>
      <c r="D50" s="138" t="n">
        <v>434</v>
      </c>
      <c r="E50" s="138" t="n">
        <v>577</v>
      </c>
      <c r="F50" s="138" t="n">
        <v>14</v>
      </c>
      <c r="G50" s="138" t="n">
        <v>10.5</v>
      </c>
      <c r="H50" s="6" t="n"/>
      <c r="I50" s="7" t="n">
        <v>10400</v>
      </c>
      <c r="J50" s="7" t="n">
        <v>45437002</v>
      </c>
      <c r="K50" s="9" t="inlineStr">
        <is>
          <t>2026-10-15 정규장 종가</t>
        </is>
      </c>
      <c r="L50" s="4" t="inlineStr">
        <is>
          <t>사용자 첨부 IMG_7104~7108 / 원문 https://m.blog.naver.com/stockvera/224440085158</t>
        </is>
      </c>
      <c r="M50" s="4" t="inlineStr">
        <is>
          <t>https://polling.finance.naver.com/api/realtime/domestic/stock/077360</t>
        </is>
      </c>
      <c r="N50" s="4" t="inlineStr">
        <is>
          <t>https://polling.finance.naver.com/api/realtime/domestic/stock/077360</t>
        </is>
      </c>
      <c r="O50" s="139" t="n">
        <v>0.1656</v>
      </c>
      <c r="P50" s="4" t="inlineStr">
        <is>
          <t>IFRS연결</t>
        </is>
      </c>
      <c r="Q50" s="4" t="inlineStr">
        <is>
          <t>2026-10-14</t>
        </is>
      </c>
      <c r="R50" s="4" t="inlineStr">
        <is>
          <t>https://comp.wisereport.co.kr/company/ajax/c1050001_data.aspx?flag=2&amp;cmp_cd=077360&amp;finGubun=MAIN&amp;frq=0&amp;sDT=20261014&amp;chartType=image</t>
        </is>
      </c>
      <c r="S50" s="13" t="inlineStr">
        <is>
          <t>2027.12(E) ROE 직접 제공값과 대조 일치. 백분율 단위·종목코드 확인.</t>
        </is>
      </c>
      <c r="T50" s="140" t="n">
        <v>315.33</v>
      </c>
      <c r="U50" s="140" t="n">
        <v>343.4</v>
      </c>
      <c r="V50" s="4" t="inlineStr">
        <is>
          <t>IFRS연결</t>
        </is>
      </c>
      <c r="W50" s="15" t="inlineStr">
        <is>
          <t>https://comp.wisereport.co.kr/company/ajax/c1050001_data.aspx?flag=2&amp;cmp_cd=077360&amp;finGubun=MAIN&amp;frq=0&amp;sDT=20261014&amp;chartType=image</t>
        </is>
      </c>
      <c r="X50" s="15" t="inlineStr">
        <is>
          <t>27E 원표와 FnGuide 차이 10% 이내 또는 비교 자료 없음</t>
        </is>
      </c>
    </row>
    <row r="51" ht="21.95" customHeight="1">
      <c r="A51" s="4" t="inlineStr">
        <is>
          <t>솔브레인</t>
        </is>
      </c>
      <c r="B51" s="137" t="inlineStr">
        <is>
          <t>357780</t>
        </is>
      </c>
      <c r="C51" s="138" t="n">
        <v>31000</v>
      </c>
      <c r="D51" s="138" t="n">
        <v>2195</v>
      </c>
      <c r="E51" s="138" t="n">
        <v>2749</v>
      </c>
      <c r="F51" s="138" t="n">
        <v>14.1</v>
      </c>
      <c r="G51" s="138" t="n">
        <v>11.2</v>
      </c>
      <c r="H51" s="6" t="n"/>
      <c r="I51" s="7" t="n">
        <v>328000</v>
      </c>
      <c r="J51" s="7" t="n">
        <v>7778566</v>
      </c>
      <c r="K51" s="9" t="inlineStr">
        <is>
          <t>2026-10-15 정규장 종가</t>
        </is>
      </c>
      <c r="L51" s="4" t="inlineStr">
        <is>
          <t>사용자 첨부 IMG_7104~7108 / 원문 https://m.blog.naver.com/stockvera/224440085158</t>
        </is>
      </c>
      <c r="M51" s="4" t="inlineStr">
        <is>
          <t>https://polling.finance.naver.com/api/realtime/domestic/stock/357780</t>
        </is>
      </c>
      <c r="N51" s="4" t="inlineStr">
        <is>
          <t>https://polling.finance.naver.com/api/realtime/domestic/stock/357780</t>
        </is>
      </c>
      <c r="O51" s="139" t="n">
        <v>0.1645</v>
      </c>
      <c r="P51" s="4" t="inlineStr">
        <is>
          <t>IFRS연결</t>
        </is>
      </c>
      <c r="Q51" s="4" t="inlineStr">
        <is>
          <t>2026-10-14</t>
        </is>
      </c>
      <c r="R51" s="4" t="inlineStr">
        <is>
          <t>https://comp.wisereport.co.kr/company/ajax/c1050001_data.aspx?flag=2&amp;cmp_cd=357780&amp;finGubun=MAIN&amp;frq=0&amp;sDT=20261014&amp;chartType=image</t>
        </is>
      </c>
      <c r="S51" s="13" t="inlineStr">
        <is>
          <t>2027.12(E) ROE 직접 제공값과 대조 일치. 백분율 단위·종목코드 확인.</t>
        </is>
      </c>
      <c r="T51" s="140" t="n">
        <v>1707.89</v>
      </c>
      <c r="U51" s="140" t="n">
        <v>2007.89</v>
      </c>
      <c r="V51" s="4" t="inlineStr">
        <is>
          <t>IFRS연결</t>
        </is>
      </c>
      <c r="W51" s="15" t="inlineStr">
        <is>
          <t>https://comp.wisereport.co.kr/company/ajax/c1050001_data.aspx?flag=2&amp;cmp_cd=357780&amp;finGubun=MAIN&amp;frq=0&amp;sDT=20261014&amp;chartType=image</t>
        </is>
      </c>
      <c r="X51" s="15" t="inlineStr">
        <is>
          <t>27E 원표와 FnGuide 차이 10% 이내 또는 비교 자료 없음</t>
        </is>
      </c>
    </row>
    <row r="52" ht="21.95" customHeight="1">
      <c r="A52" s="4" t="inlineStr">
        <is>
          <t>네패스아크</t>
        </is>
      </c>
      <c r="B52" s="137" t="inlineStr">
        <is>
          <t>330860</t>
        </is>
      </c>
      <c r="C52" s="138" t="n">
        <v>3942</v>
      </c>
      <c r="D52" s="138" t="n">
        <v>276</v>
      </c>
      <c r="E52" s="138" t="n">
        <v>382</v>
      </c>
      <c r="F52" s="138" t="n">
        <v>14.3</v>
      </c>
      <c r="G52" s="138" t="n">
        <v>10.3</v>
      </c>
      <c r="H52" s="6" t="n"/>
      <c r="I52" s="7" t="n">
        <v>24100</v>
      </c>
      <c r="J52" s="7" t="n">
        <v>12184045</v>
      </c>
      <c r="K52" s="9" t="inlineStr">
        <is>
          <t>2026-10-15 정규장 종가</t>
        </is>
      </c>
      <c r="L52" s="4" t="inlineStr">
        <is>
          <t>사용자 첨부 IMG_7104~7108 / 원문 https://m.blog.naver.com/stockvera/224440085158</t>
        </is>
      </c>
      <c r="M52" s="4" t="inlineStr">
        <is>
          <t>https://polling.finance.naver.com/api/realtime/domestic/stock/330860</t>
        </is>
      </c>
      <c r="N52" s="4" t="inlineStr">
        <is>
          <t>https://polling.finance.naver.com/api/realtime/domestic/stock/330860</t>
        </is>
      </c>
      <c r="O52" s="139" t="n">
        <v>0.1364</v>
      </c>
      <c r="P52" s="4" t="inlineStr">
        <is>
          <t>IFRS별도</t>
        </is>
      </c>
      <c r="Q52" s="4" t="inlineStr">
        <is>
          <t>2026-10-14</t>
        </is>
      </c>
      <c r="R52" s="4" t="inlineStr">
        <is>
          <t>https://comp.wisereport.co.kr/company/ajax/c1050001_data.aspx?flag=2&amp;cmp_cd=330860&amp;finGubun=MAIN&amp;frq=0&amp;sDT=20261014&amp;chartType=image</t>
        </is>
      </c>
      <c r="S52" s="13" t="inlineStr">
        <is>
          <t>2027.12(E) ROE 직접 제공값과 대조 일치. 백분율 단위·종목코드 확인.</t>
        </is>
      </c>
      <c r="T52" s="140" t="n">
        <v>199</v>
      </c>
      <c r="U52" s="140" t="n">
        <v>257.33</v>
      </c>
      <c r="V52" s="4" t="inlineStr">
        <is>
          <t>IFRS별도</t>
        </is>
      </c>
      <c r="W52" s="15" t="inlineStr">
        <is>
          <t>https://comp.wisereport.co.kr/company/ajax/c1050001_data.aspx?flag=2&amp;cmp_cd=330860&amp;finGubun=MAIN&amp;frq=0&amp;sDT=20261014&amp;chartType=image</t>
        </is>
      </c>
      <c r="X52" s="15" t="inlineStr">
        <is>
          <t>27E 원표와 FnGuide 차이 10% 이내 또는 비교 자료 없음</t>
        </is>
      </c>
    </row>
    <row r="53" ht="21.95" customHeight="1">
      <c r="A53" s="4" t="inlineStr">
        <is>
          <t>네패스</t>
        </is>
      </c>
      <c r="B53" s="137" t="inlineStr">
        <is>
          <t>033640</t>
        </is>
      </c>
      <c r="C53" s="138" t="n">
        <v>7194</v>
      </c>
      <c r="D53" s="138" t="n">
        <v>492</v>
      </c>
      <c r="E53" s="138" t="n">
        <v>858</v>
      </c>
      <c r="F53" s="138" t="n">
        <v>14.6</v>
      </c>
      <c r="G53" s="138" t="n">
        <v>8.4</v>
      </c>
      <c r="H53" s="6" t="inlineStr">
        <is>
          <t>†</t>
        </is>
      </c>
      <c r="I53" s="7" t="n">
        <v>23850</v>
      </c>
      <c r="J53" s="7" t="n">
        <v>23059202</v>
      </c>
      <c r="K53" s="9" t="inlineStr">
        <is>
          <t>2026-10-15 정규장 종가</t>
        </is>
      </c>
      <c r="L53" s="4" t="inlineStr">
        <is>
          <t>사용자 첨부 IMG_7104~7108 / 원문 https://m.blog.naver.com/stockvera/224440085158</t>
        </is>
      </c>
      <c r="M53" s="4" t="inlineStr">
        <is>
          <t>https://polling.finance.naver.com/api/realtime/domestic/stock/033640</t>
        </is>
      </c>
      <c r="N53" s="4" t="inlineStr">
        <is>
          <t>https://polling.finance.naver.com/api/realtime/domestic/stock/033640</t>
        </is>
      </c>
      <c r="O53" s="139" t="n">
        <v>0.2456</v>
      </c>
      <c r="P53" s="4" t="inlineStr">
        <is>
          <t>IFRS연결</t>
        </is>
      </c>
      <c r="Q53" s="4" t="inlineStr">
        <is>
          <t>2026-10-14</t>
        </is>
      </c>
      <c r="R53" s="4" t="inlineStr">
        <is>
          <t>https://comp.wisereport.co.kr/company/ajax/c1050001_data.aspx?flag=2&amp;cmp_cd=033640&amp;finGubun=MAIN&amp;frq=0&amp;sDT=20261014&amp;chartType=image</t>
        </is>
      </c>
      <c r="S53" s="13" t="inlineStr">
        <is>
          <t>2027.12(E) ROE 직접 제공값과 대조 일치. 백분율 단위·종목코드 확인.</t>
        </is>
      </c>
      <c r="T53" s="140" t="n">
        <v>303.33</v>
      </c>
      <c r="U53" s="140" t="n">
        <v>548.67</v>
      </c>
      <c r="V53" s="4" t="inlineStr">
        <is>
          <t>IFRS연결</t>
        </is>
      </c>
      <c r="W53" s="15" t="inlineStr">
        <is>
          <t>https://comp.wisereport.co.kr/company/ajax/c1050001_data.aspx?flag=2&amp;cmp_cd=033640&amp;finGubun=MAIN&amp;frq=0&amp;sDT=20261014&amp;chartType=image</t>
        </is>
      </c>
      <c r="X53" s="15" t="inlineStr">
        <is>
          <t>순이익: 기존 27E 492.00억원 vs FnGuide 432.67억원 (-12.1%)</t>
        </is>
      </c>
    </row>
    <row r="54" ht="21.95" customHeight="1">
      <c r="A54" s="4" t="inlineStr">
        <is>
          <t>코리아써키트</t>
        </is>
      </c>
      <c r="B54" s="137" t="inlineStr">
        <is>
          <t>007810</t>
        </is>
      </c>
      <c r="C54" s="138" t="n">
        <v>19000</v>
      </c>
      <c r="D54" s="138" t="n">
        <v>1223</v>
      </c>
      <c r="E54" s="138" t="n">
        <v>1594</v>
      </c>
      <c r="F54" s="138" t="n">
        <v>15.8</v>
      </c>
      <c r="G54" s="138" t="n">
        <v>12.1</v>
      </c>
      <c r="H54" s="6" t="inlineStr">
        <is>
          <t>†</t>
        </is>
      </c>
      <c r="I54" s="7" t="n">
        <v>62300</v>
      </c>
      <c r="J54" s="7" t="n">
        <v>23982620</v>
      </c>
      <c r="K54" s="9" t="inlineStr">
        <is>
          <t>2026-10-15 정규장 종가</t>
        </is>
      </c>
      <c r="L54" s="4" t="inlineStr">
        <is>
          <t>사용자 첨부 IMG_7104~7108 / 원문 https://m.blog.naver.com/stockvera/224440085158</t>
        </is>
      </c>
      <c r="M54" s="4" t="inlineStr">
        <is>
          <t>https://polling.finance.naver.com/api/realtime/domestic/stock/007810</t>
        </is>
      </c>
      <c r="N54" s="4" t="inlineStr">
        <is>
          <t>https://polling.finance.naver.com/api/realtime/domestic/stock/007810</t>
        </is>
      </c>
      <c r="O54" s="139" t="n">
        <v>0.2099</v>
      </c>
      <c r="P54" s="4" t="inlineStr">
        <is>
          <t>IFRS연결</t>
        </is>
      </c>
      <c r="Q54" s="4" t="inlineStr">
        <is>
          <t>2026-10-14</t>
        </is>
      </c>
      <c r="R54" s="4" t="inlineStr">
        <is>
          <t>https://comp.wisereport.co.kr/company/ajax/c1050001_data.aspx?flag=2&amp;cmp_cd=007810&amp;finGubun=MAIN&amp;frq=0&amp;sDT=20261014&amp;chartType=image</t>
        </is>
      </c>
      <c r="S54" s="13" t="inlineStr">
        <is>
          <t>2027.12(E) ROE 직접 제공값과 대조 일치. 백분율 단위·종목코드 확인.</t>
        </is>
      </c>
      <c r="T54" s="140" t="n">
        <v>849</v>
      </c>
      <c r="U54" s="140" t="n">
        <v>970.5</v>
      </c>
      <c r="V54" s="4" t="inlineStr">
        <is>
          <t>IFRS연결</t>
        </is>
      </c>
      <c r="W54" s="15" t="inlineStr">
        <is>
          <t>https://comp.wisereport.co.kr/company/ajax/c1050001_data.aspx?flag=2&amp;cmp_cd=007810&amp;finGubun=MAIN&amp;frq=0&amp;sDT=20261014&amp;chartType=image</t>
        </is>
      </c>
      <c r="X54" s="15" t="inlineStr">
        <is>
          <t>27E 원표와 FnGuide 차이 10% 이내 또는 비교 자료 없음</t>
        </is>
      </c>
    </row>
    <row r="55" ht="21.95" customHeight="1">
      <c r="A55" s="4" t="inlineStr">
        <is>
          <t>티에프이</t>
        </is>
      </c>
      <c r="B55" s="137" t="inlineStr">
        <is>
          <t>425420</t>
        </is>
      </c>
      <c r="C55" s="138" t="n">
        <v>7803</v>
      </c>
      <c r="D55" s="138" t="n">
        <v>482</v>
      </c>
      <c r="E55" s="138" t="n">
        <v>536</v>
      </c>
      <c r="F55" s="138" t="n">
        <v>16.2</v>
      </c>
      <c r="G55" s="138" t="n">
        <v>14.6</v>
      </c>
      <c r="H55" s="6" t="n"/>
      <c r="I55" s="7" t="n">
        <v>52200</v>
      </c>
      <c r="J55" s="7" t="n">
        <v>12347181</v>
      </c>
      <c r="K55" s="9" t="inlineStr">
        <is>
          <t>2026-10-15 정규장 종가</t>
        </is>
      </c>
      <c r="L55" s="4" t="inlineStr">
        <is>
          <t>사용자 첨부 IMG_7104~7108 / 원문 https://m.blog.naver.com/stockvera/224440085158</t>
        </is>
      </c>
      <c r="M55" s="4" t="inlineStr">
        <is>
          <t>https://polling.finance.naver.com/api/realtime/domestic/stock/425420</t>
        </is>
      </c>
      <c r="N55" s="4" t="inlineStr">
        <is>
          <t>https://polling.finance.naver.com/api/realtime/domestic/stock/425420</t>
        </is>
      </c>
      <c r="O55" s="139" t="n">
        <v>0.2431</v>
      </c>
      <c r="P55" s="4" t="inlineStr">
        <is>
          <t>IFRS연결</t>
        </is>
      </c>
      <c r="Q55" s="4" t="inlineStr">
        <is>
          <t>2026-10-14</t>
        </is>
      </c>
      <c r="R55" s="4" t="inlineStr">
        <is>
          <t>https://comp.wisereport.co.kr/company/ajax/c1050001_data.aspx?flag=2&amp;cmp_cd=425420&amp;finGubun=MAIN&amp;frq=0&amp;sDT=20261014&amp;chartType=image</t>
        </is>
      </c>
      <c r="S55" s="13" t="inlineStr">
        <is>
          <t>2027.12(E) ROE 직접 제공값과 대조 일치. 백분율 단위·종목코드 확인.</t>
        </is>
      </c>
      <c r="T55" s="140" t="n">
        <v>328.5</v>
      </c>
      <c r="U55" s="140" t="n">
        <v>360</v>
      </c>
      <c r="V55" s="4" t="inlineStr">
        <is>
          <t>IFRS연결</t>
        </is>
      </c>
      <c r="W55" s="15" t="inlineStr">
        <is>
          <t>https://comp.wisereport.co.kr/company/ajax/c1050001_data.aspx?flag=2&amp;cmp_cd=425420&amp;finGubun=MAIN&amp;frq=0&amp;sDT=20261014&amp;chartType=image</t>
        </is>
      </c>
      <c r="X55" s="15" t="inlineStr">
        <is>
          <t>27E 원표와 FnGuide 차이 10% 이내 또는 비교 자료 없음</t>
        </is>
      </c>
    </row>
    <row r="56" ht="21.95" customHeight="1">
      <c r="A56" s="4" t="inlineStr">
        <is>
          <t>인텍플러스</t>
        </is>
      </c>
      <c r="B56" s="137" t="inlineStr">
        <is>
          <t>064290</t>
        </is>
      </c>
      <c r="C56" s="138" t="n">
        <v>7435</v>
      </c>
      <c r="D56" s="138" t="n">
        <v>451</v>
      </c>
      <c r="E56" s="138" t="n">
        <v>543</v>
      </c>
      <c r="F56" s="138" t="n">
        <v>16.5</v>
      </c>
      <c r="G56" s="138" t="n">
        <v>13.7</v>
      </c>
      <c r="H56" s="6" t="n"/>
      <c r="I56" s="7" t="n">
        <v>50000</v>
      </c>
      <c r="J56" s="7" t="n">
        <v>12998378</v>
      </c>
      <c r="K56" s="9" t="inlineStr">
        <is>
          <t>2026-10-15 정규장 종가</t>
        </is>
      </c>
      <c r="L56" s="4" t="inlineStr">
        <is>
          <t>사용자 첨부 IMG_7104~7108 / 원문 https://m.blog.naver.com/stockvera/224440085158</t>
        </is>
      </c>
      <c r="M56" s="4" t="inlineStr">
        <is>
          <t>https://polling.finance.naver.com/api/realtime/domestic/stock/064290</t>
        </is>
      </c>
      <c r="N56" s="4" t="inlineStr">
        <is>
          <t>https://polling.finance.naver.com/api/realtime/domestic/stock/064290</t>
        </is>
      </c>
      <c r="O56" s="139" t="n">
        <v>0.6417</v>
      </c>
      <c r="P56" s="4" t="inlineStr">
        <is>
          <t>IFRS연결</t>
        </is>
      </c>
      <c r="Q56" s="4" t="inlineStr">
        <is>
          <t>2026-10-14</t>
        </is>
      </c>
      <c r="R56" s="4" t="inlineStr">
        <is>
          <t>https://comp.wisereport.co.kr/company/ajax/c1050001_data.aspx?flag=2&amp;cmp_cd=064290&amp;finGubun=MAIN&amp;frq=0&amp;sDT=20261014&amp;chartType=image</t>
        </is>
      </c>
      <c r="S56" s="13" t="inlineStr">
        <is>
          <t>2027.12(E) ROE 직접 제공값과 대조 일치. 백분율 단위·종목코드 확인.</t>
        </is>
      </c>
      <c r="T56" s="140" t="n">
        <v>43</v>
      </c>
      <c r="U56" s="140" t="n">
        <v>71.75</v>
      </c>
      <c r="V56" s="4" t="inlineStr">
        <is>
          <t>IFRS연결</t>
        </is>
      </c>
      <c r="W56" s="15" t="inlineStr">
        <is>
          <t>https://comp.wisereport.co.kr/company/ajax/c1050001_data.aspx?flag=2&amp;cmp_cd=064290&amp;finGubun=MAIN&amp;frq=0&amp;sDT=20261014&amp;chartType=image</t>
        </is>
      </c>
      <c r="X56" s="15" t="inlineStr">
        <is>
          <t>27E 원표와 FnGuide 차이 10% 이내 또는 비교 자료 없음</t>
        </is>
      </c>
    </row>
    <row r="57" ht="21.95" customHeight="1">
      <c r="A57" s="4" t="inlineStr">
        <is>
          <t>넥스틴</t>
        </is>
      </c>
      <c r="B57" s="137" t="inlineStr">
        <is>
          <t>348210</t>
        </is>
      </c>
      <c r="C57" s="138" t="n">
        <v>3877</v>
      </c>
      <c r="D57" s="138" t="n">
        <v>232</v>
      </c>
      <c r="E57" s="138" t="n">
        <v>281</v>
      </c>
      <c r="F57" s="138" t="n">
        <v>16.7</v>
      </c>
      <c r="G57" s="138" t="n">
        <v>13.8</v>
      </c>
      <c r="H57" s="6" t="n"/>
      <c r="I57" s="7" t="n">
        <v>29300</v>
      </c>
      <c r="J57" s="7" t="n">
        <v>10477005</v>
      </c>
      <c r="K57" s="9" t="inlineStr">
        <is>
          <t>2026-10-15 정규장 종가</t>
        </is>
      </c>
      <c r="L57" s="4" t="inlineStr">
        <is>
          <t>사용자 첨부 IMG_7104~7108 / 원문 https://m.blog.naver.com/stockvera/224440085158</t>
        </is>
      </c>
      <c r="M57" s="4" t="inlineStr">
        <is>
          <t>https://polling.finance.naver.com/api/realtime/domestic/stock/348210</t>
        </is>
      </c>
      <c r="N57" s="4" t="inlineStr">
        <is>
          <t>https://polling.finance.naver.com/api/realtime/domestic/stock/348210</t>
        </is>
      </c>
      <c r="O57" s="139" t="n">
        <v>0.1414</v>
      </c>
      <c r="P57" s="4" t="inlineStr">
        <is>
          <t>IFRS연결</t>
        </is>
      </c>
      <c r="Q57" s="4" t="inlineStr">
        <is>
          <t>2026-10-14</t>
        </is>
      </c>
      <c r="R57" s="4" t="inlineStr">
        <is>
          <t>https://comp.wisereport.co.kr/company/ajax/c1050001_data.aspx?flag=2&amp;cmp_cd=348210&amp;finGubun=MAIN&amp;frq=0&amp;sDT=20261014&amp;chartType=image</t>
        </is>
      </c>
      <c r="S57" s="13" t="inlineStr">
        <is>
          <t>2027.12(E) ROE 직접 제공값과 대조 일치. 백분율 단위·종목코드 확인.</t>
        </is>
      </c>
      <c r="T57" s="140" t="n">
        <v>69.33</v>
      </c>
      <c r="U57" s="140" t="n">
        <v>66.67</v>
      </c>
      <c r="V57" s="4" t="inlineStr">
        <is>
          <t>IFRS연결</t>
        </is>
      </c>
      <c r="W57" s="15" t="inlineStr">
        <is>
          <t>https://comp.wisereport.co.kr/company/ajax/c1050001_data.aspx?flag=2&amp;cmp_cd=348210&amp;finGubun=MAIN&amp;frq=0&amp;sDT=20261014&amp;chartType=image</t>
        </is>
      </c>
      <c r="X57" s="15" t="inlineStr">
        <is>
          <t>27E 원표와 FnGuide 차이 10% 이내 또는 비교 자료 없음</t>
        </is>
      </c>
    </row>
    <row r="58" ht="21.95" customHeight="1">
      <c r="A58" s="4" t="inlineStr">
        <is>
          <t>심텍</t>
        </is>
      </c>
      <c r="B58" s="137" t="inlineStr">
        <is>
          <t>222800</t>
        </is>
      </c>
      <c r="C58" s="138" t="n">
        <v>60000</v>
      </c>
      <c r="D58" s="138" t="n">
        <v>3392</v>
      </c>
      <c r="E58" s="138" t="n">
        <v>4385</v>
      </c>
      <c r="F58" s="138" t="n">
        <v>17.6</v>
      </c>
      <c r="G58" s="138" t="n">
        <v>13.6</v>
      </c>
      <c r="H58" s="6" t="n"/>
      <c r="I58" s="7" t="n">
        <v>120400</v>
      </c>
      <c r="J58" s="7" t="n">
        <v>38484526</v>
      </c>
      <c r="K58" s="9" t="inlineStr">
        <is>
          <t>2026-10-15 정규장 종가</t>
        </is>
      </c>
      <c r="L58" s="4" t="inlineStr">
        <is>
          <t>사용자 첨부 IMG_7104~7108 / 원문 https://m.blog.naver.com/stockvera/224440085158</t>
        </is>
      </c>
      <c r="M58" s="4" t="inlineStr">
        <is>
          <t>https://polling.finance.naver.com/api/realtime/domestic/stock/222800</t>
        </is>
      </c>
      <c r="N58" s="4" t="inlineStr">
        <is>
          <t>https://polling.finance.naver.com/api/realtime/domestic/stock/222800</t>
        </is>
      </c>
      <c r="O58" s="139" t="n">
        <v>0.3648</v>
      </c>
      <c r="P58" s="4" t="inlineStr">
        <is>
          <t>IFRS연결</t>
        </is>
      </c>
      <c r="Q58" s="4" t="inlineStr">
        <is>
          <t>2026-10-14</t>
        </is>
      </c>
      <c r="R58" s="4" t="inlineStr">
        <is>
          <t>https://comp.wisereport.co.kr/company/ajax/c1050001_data.aspx?flag=2&amp;cmp_cd=222800&amp;finGubun=MAIN&amp;frq=0&amp;sDT=20261014&amp;chartType=image</t>
        </is>
      </c>
      <c r="S58" s="13" t="inlineStr">
        <is>
          <t>2027.12(E) ROE 직접 제공값과 대조 일치. 백분율 단위·종목코드 확인.</t>
        </is>
      </c>
      <c r="T58" s="140" t="n">
        <v>1971.22</v>
      </c>
      <c r="U58" s="140" t="n">
        <v>2593.4</v>
      </c>
      <c r="V58" s="4" t="inlineStr">
        <is>
          <t>IFRS연결</t>
        </is>
      </c>
      <c r="W58" s="15" t="inlineStr">
        <is>
          <t>https://comp.wisereport.co.kr/company/ajax/c1050001_data.aspx?flag=2&amp;cmp_cd=222800&amp;finGubun=MAIN&amp;frq=0&amp;sDT=20261014&amp;chartType=image</t>
        </is>
      </c>
      <c r="X58" s="15" t="inlineStr">
        <is>
          <t>27E 원표와 FnGuide 차이 10% 이내 또는 비교 자료 없음</t>
        </is>
      </c>
    </row>
    <row r="59" ht="21.95" customHeight="1">
      <c r="A59" s="4" t="inlineStr">
        <is>
          <t>엑시콘</t>
        </is>
      </c>
      <c r="B59" s="137" t="inlineStr">
        <is>
          <t>092870</t>
        </is>
      </c>
      <c r="C59" s="138" t="n">
        <v>7400</v>
      </c>
      <c r="D59" s="138" t="n">
        <v>415</v>
      </c>
      <c r="E59" s="138" t="n">
        <v>413</v>
      </c>
      <c r="F59" s="138" t="n">
        <v>17.8</v>
      </c>
      <c r="G59" s="138" t="n">
        <v>17.9</v>
      </c>
      <c r="H59" s="6" t="n"/>
      <c r="I59" s="7" t="n">
        <v>44200</v>
      </c>
      <c r="J59" s="7" t="n">
        <v>13050797</v>
      </c>
      <c r="K59" s="9" t="inlineStr">
        <is>
          <t>2026-10-15 정규장 종가</t>
        </is>
      </c>
      <c r="L59" s="4" t="inlineStr">
        <is>
          <t>사용자 첨부 IMG_7104~7108 / 원문 https://m.blog.naver.com/stockvera/224440085158</t>
        </is>
      </c>
      <c r="M59" s="4" t="inlineStr">
        <is>
          <t>https://polling.finance.naver.com/api/realtime/domestic/stock/092870</t>
        </is>
      </c>
      <c r="N59" s="4" t="inlineStr">
        <is>
          <t>https://polling.finance.naver.com/api/realtime/domestic/stock/092870</t>
        </is>
      </c>
      <c r="O59" s="139" t="n">
        <v>0.1704</v>
      </c>
      <c r="P59" s="4" t="inlineStr">
        <is>
          <t>IFRS연결</t>
        </is>
      </c>
      <c r="Q59" s="4" t="inlineStr">
        <is>
          <t>2026-10-14</t>
        </is>
      </c>
      <c r="R59" s="4" t="inlineStr">
        <is>
          <t>https://comp.wisereport.co.kr/company/ajax/c1050001_data.aspx?flag=2&amp;cmp_cd=092870&amp;finGubun=MAIN&amp;frq=0&amp;sDT=20261014&amp;chartType=image</t>
        </is>
      </c>
      <c r="S59" s="13" t="inlineStr">
        <is>
          <t>2027.12(E) ROE 직접 제공값과 대조 일치. 백분율 단위·종목코드 확인.</t>
        </is>
      </c>
      <c r="T59" s="140" t="n">
        <v>267.67</v>
      </c>
      <c r="U59" s="140" t="n">
        <v>216.33</v>
      </c>
      <c r="V59" s="4" t="inlineStr">
        <is>
          <t>IFRS연결</t>
        </is>
      </c>
      <c r="W59" s="15" t="inlineStr">
        <is>
          <t>https://comp.wisereport.co.kr/company/ajax/c1050001_data.aspx?flag=2&amp;cmp_cd=092870&amp;finGubun=MAIN&amp;frq=0&amp;sDT=20261014&amp;chartType=image</t>
        </is>
      </c>
      <c r="X59" s="15" t="inlineStr">
        <is>
          <t>27E 원표와 FnGuide 차이 10% 이내 또는 비교 자료 없음</t>
        </is>
      </c>
    </row>
    <row r="60" ht="21.95" customHeight="1">
      <c r="A60" s="4" t="inlineStr">
        <is>
          <t>티엘비</t>
        </is>
      </c>
      <c r="B60" s="137" t="inlineStr">
        <is>
          <t>356860</t>
        </is>
      </c>
      <c r="C60" s="138" t="n">
        <v>12000</v>
      </c>
      <c r="D60" s="138" t="n">
        <v>665</v>
      </c>
      <c r="E60" s="138" t="n">
        <v>828</v>
      </c>
      <c r="F60" s="138" t="n">
        <v>18.2</v>
      </c>
      <c r="G60" s="138" t="n">
        <v>14.6</v>
      </c>
      <c r="H60" s="6" t="n"/>
      <c r="I60" s="7" t="n">
        <v>37600</v>
      </c>
      <c r="J60" s="7" t="n">
        <v>23701260</v>
      </c>
      <c r="K60" s="9" t="inlineStr">
        <is>
          <t>2026-10-15 정규장 종가</t>
        </is>
      </c>
      <c r="L60" s="4" t="inlineStr">
        <is>
          <t>사용자 첨부 IMG_7104~7108 / 원문 https://m.blog.naver.com/stockvera/224440085158</t>
        </is>
      </c>
      <c r="M60" s="4" t="inlineStr">
        <is>
          <t>https://polling.finance.naver.com/api/realtime/domestic/stock/356860</t>
        </is>
      </c>
      <c r="N60" s="4" t="inlineStr">
        <is>
          <t>https://polling.finance.naver.com/api/realtime/domestic/stock/356860</t>
        </is>
      </c>
      <c r="O60" s="139" t="n">
        <v>0.2489</v>
      </c>
      <c r="P60" s="4" t="inlineStr">
        <is>
          <t>IFRS연결</t>
        </is>
      </c>
      <c r="Q60" s="4" t="inlineStr">
        <is>
          <t>2026-10-14</t>
        </is>
      </c>
      <c r="R60" s="4" t="inlineStr">
        <is>
          <t>https://comp.wisereport.co.kr/company/ajax/c1050001_data.aspx?flag=2&amp;cmp_cd=356860&amp;finGubun=MAIN&amp;frq=0&amp;sDT=20261014&amp;chartType=image</t>
        </is>
      </c>
      <c r="S60" s="13" t="inlineStr">
        <is>
          <t>2027.12(E) ROE 직접 제공값과 대조 일치. 백분율 단위·종목코드 확인.</t>
        </is>
      </c>
      <c r="T60" s="140" t="n">
        <v>459.5</v>
      </c>
      <c r="U60" s="140" t="n">
        <v>568.27</v>
      </c>
      <c r="V60" s="4" t="inlineStr">
        <is>
          <t>IFRS연결</t>
        </is>
      </c>
      <c r="W60" s="15" t="inlineStr">
        <is>
          <t>https://comp.wisereport.co.kr/company/ajax/c1050001_data.aspx?flag=2&amp;cmp_cd=356860&amp;finGubun=MAIN&amp;frq=0&amp;sDT=20261014&amp;chartType=image</t>
        </is>
      </c>
      <c r="X60" s="15" t="inlineStr">
        <is>
          <t>27E 원표와 FnGuide 차이 10% 이내 또는 비교 자료 없음</t>
        </is>
      </c>
    </row>
    <row r="61" ht="21.95" customHeight="1">
      <c r="A61" s="4" t="inlineStr">
        <is>
          <t>티에스이</t>
        </is>
      </c>
      <c r="B61" s="137" t="inlineStr">
        <is>
          <t>131290</t>
        </is>
      </c>
      <c r="C61" s="138" t="n">
        <v>34000</v>
      </c>
      <c r="D61" s="138" t="n">
        <v>1870</v>
      </c>
      <c r="E61" s="138" t="n">
        <v>2470</v>
      </c>
      <c r="F61" s="138" t="n">
        <v>18.2</v>
      </c>
      <c r="G61" s="138" t="n">
        <v>13.8</v>
      </c>
      <c r="H61" s="6" t="inlineStr">
        <is>
          <t>†</t>
        </is>
      </c>
      <c r="I61" s="7" t="n">
        <v>261000</v>
      </c>
      <c r="J61" s="7" t="n">
        <v>11061429</v>
      </c>
      <c r="K61" s="9" t="inlineStr">
        <is>
          <t>2026-10-15 정규장 종가</t>
        </is>
      </c>
      <c r="L61" s="4" t="inlineStr">
        <is>
          <t>사용자 첨부 IMG_7104~7108 / 원문 https://m.blog.naver.com/stockvera/224440085158</t>
        </is>
      </c>
      <c r="M61" s="4" t="inlineStr">
        <is>
          <t>https://polling.finance.naver.com/api/realtime/domestic/stock/131290</t>
        </is>
      </c>
      <c r="N61" s="4" t="inlineStr">
        <is>
          <t>https://polling.finance.naver.com/api/realtime/domestic/stock/131290</t>
        </is>
      </c>
      <c r="O61" s="139" t="n">
        <v>0.3032</v>
      </c>
      <c r="P61" s="4" t="inlineStr">
        <is>
          <t>IFRS연결</t>
        </is>
      </c>
      <c r="Q61" s="4" t="inlineStr">
        <is>
          <t>2026-10-14</t>
        </is>
      </c>
      <c r="R61" s="4" t="inlineStr">
        <is>
          <t>https://comp.wisereport.co.kr/company/ajax/c1050001_data.aspx?flag=2&amp;cmp_cd=131290&amp;finGubun=MAIN&amp;frq=0&amp;sDT=20261014&amp;chartType=image</t>
        </is>
      </c>
      <c r="S61" s="13" t="inlineStr">
        <is>
          <t>2027.12(E) ROE 직접 제공값과 대조 일치. 백분율 단위·종목코드 확인.</t>
        </is>
      </c>
      <c r="T61" s="140" t="n">
        <v>1437.33</v>
      </c>
      <c r="U61" s="140" t="n">
        <v>1918.33</v>
      </c>
      <c r="V61" s="4" t="inlineStr">
        <is>
          <t>IFRS연결</t>
        </is>
      </c>
      <c r="W61" s="15" t="inlineStr">
        <is>
          <t>https://comp.wisereport.co.kr/company/ajax/c1050001_data.aspx?flag=2&amp;cmp_cd=131290&amp;finGubun=MAIN&amp;frq=0&amp;sDT=20261014&amp;chartType=image</t>
        </is>
      </c>
      <c r="X61" s="15" t="inlineStr">
        <is>
          <t>27E 원표와 FnGuide 차이 10% 이내 또는 비교 자료 없음</t>
        </is>
      </c>
    </row>
    <row r="62" ht="21.95" customHeight="1">
      <c r="A62" s="4" t="inlineStr">
        <is>
          <t>파두</t>
        </is>
      </c>
      <c r="B62" s="137" t="inlineStr">
        <is>
          <t>440110</t>
        </is>
      </c>
      <c r="C62" s="138" t="n">
        <v>39000</v>
      </c>
      <c r="D62" s="138" t="n">
        <v>2026</v>
      </c>
      <c r="E62" s="138" t="n">
        <v>2266</v>
      </c>
      <c r="F62" s="138" t="n">
        <v>19</v>
      </c>
      <c r="G62" s="138" t="n">
        <v>17</v>
      </c>
      <c r="H62" s="6" t="n"/>
      <c r="I62" s="7" t="n">
        <v>56400</v>
      </c>
      <c r="J62" s="7" t="n">
        <v>50111027</v>
      </c>
      <c r="K62" s="9" t="inlineStr">
        <is>
          <t>2026-10-15 정규장 종가</t>
        </is>
      </c>
      <c r="L62" s="4" t="inlineStr">
        <is>
          <t>사용자 첨부 IMG_7104~7108 / 원문 https://m.blog.naver.com/stockvera/224440085158</t>
        </is>
      </c>
      <c r="M62" s="4" t="inlineStr">
        <is>
          <t>https://polling.finance.naver.com/api/realtime/domestic/stock/440110</t>
        </is>
      </c>
      <c r="N62" s="4" t="inlineStr">
        <is>
          <t>https://polling.finance.naver.com/api/realtime/domestic/stock/440110</t>
        </is>
      </c>
      <c r="O62" s="139" t="n">
        <v>0.9120999999999999</v>
      </c>
      <c r="P62" s="4" t="inlineStr">
        <is>
          <t>IFRS연결</t>
        </is>
      </c>
      <c r="Q62" s="4" t="inlineStr">
        <is>
          <t>2026-10-14</t>
        </is>
      </c>
      <c r="R62" s="4" t="inlineStr">
        <is>
          <t>https://comp.wisereport.co.kr/company/ajax/c1050001_data.aspx?flag=2&amp;cmp_cd=440110&amp;finGubun=MAIN&amp;frq=0&amp;sDT=20261014&amp;chartType=image</t>
        </is>
      </c>
      <c r="S62" s="13" t="inlineStr">
        <is>
          <t>2027.12(E) ROE 직접 제공값과 대조 일치. 백분율 단위·종목코드 확인.</t>
        </is>
      </c>
      <c r="T62" s="140" t="n">
        <v>544.5</v>
      </c>
      <c r="U62" s="140" t="n">
        <v>928.5</v>
      </c>
      <c r="V62" s="4" t="inlineStr">
        <is>
          <t>IFRS연결</t>
        </is>
      </c>
      <c r="W62" s="15" t="inlineStr">
        <is>
          <t>https://comp.wisereport.co.kr/company/ajax/c1050001_data.aspx?flag=2&amp;cmp_cd=440110&amp;finGubun=MAIN&amp;frq=0&amp;sDT=20261014&amp;chartType=image</t>
        </is>
      </c>
      <c r="X62" s="15" t="inlineStr">
        <is>
          <t>27E 원표와 FnGuide 차이 10% 이내 또는 비교 자료 없음</t>
        </is>
      </c>
    </row>
    <row r="63" ht="21.95" customHeight="1">
      <c r="A63" s="4" t="inlineStr">
        <is>
          <t>디아이</t>
        </is>
      </c>
      <c r="B63" s="137" t="inlineStr">
        <is>
          <t>003160</t>
        </is>
      </c>
      <c r="C63" s="138" t="n">
        <v>12000</v>
      </c>
      <c r="D63" s="138" t="n">
        <v>625</v>
      </c>
      <c r="E63" s="138" t="n">
        <v>1446</v>
      </c>
      <c r="F63" s="138" t="n">
        <v>19.2</v>
      </c>
      <c r="G63" s="138" t="n">
        <v>8.300000000000001</v>
      </c>
      <c r="H63" s="6" t="inlineStr">
        <is>
          <t>†</t>
        </is>
      </c>
      <c r="I63" s="7" t="n">
        <v>35150</v>
      </c>
      <c r="J63" s="7" t="n">
        <v>28300000</v>
      </c>
      <c r="K63" s="9" t="inlineStr">
        <is>
          <t>2026-10-15 정규장 종가</t>
        </is>
      </c>
      <c r="L63" s="4" t="inlineStr">
        <is>
          <t>사용자 첨부 IMG_7104~7108 / 원문 https://m.blog.naver.com/stockvera/224440085158</t>
        </is>
      </c>
      <c r="M63" s="4" t="inlineStr">
        <is>
          <t>https://polling.finance.naver.com/api/realtime/domestic/stock/003160</t>
        </is>
      </c>
      <c r="N63" s="4" t="inlineStr">
        <is>
          <t>https://polling.finance.naver.com/api/realtime/domestic/stock/003160</t>
        </is>
      </c>
      <c r="O63" s="139" t="n">
        <v>0.2617</v>
      </c>
      <c r="P63" s="4" t="inlineStr">
        <is>
          <t>IFRS연결</t>
        </is>
      </c>
      <c r="Q63" s="4" t="inlineStr">
        <is>
          <t>2026-10-14</t>
        </is>
      </c>
      <c r="R63" s="4" t="inlineStr">
        <is>
          <t>https://comp.wisereport.co.kr/company/ajax/c1050001_data.aspx?flag=2&amp;cmp_cd=003160&amp;finGubun=MAIN&amp;frq=0&amp;sDT=20261014&amp;chartType=image</t>
        </is>
      </c>
      <c r="S63" s="13" t="inlineStr">
        <is>
          <t>2027.12(E) ROE 직접 제공값과 대조 일치. 백분율 단위·종목코드 확인.</t>
        </is>
      </c>
      <c r="T63" s="140" t="n">
        <v>601.75</v>
      </c>
      <c r="U63" s="140" t="n">
        <v>1162.6</v>
      </c>
      <c r="V63" s="4" t="inlineStr">
        <is>
          <t>IFRS연결</t>
        </is>
      </c>
      <c r="W63" s="15" t="inlineStr">
        <is>
          <t>https://comp.wisereport.co.kr/company/ajax/c1050001_data.aspx?flag=2&amp;cmp_cd=003160&amp;finGubun=MAIN&amp;frq=0&amp;sDT=20261014&amp;chartType=image</t>
        </is>
      </c>
      <c r="X63" s="15" t="inlineStr">
        <is>
          <t>순이익: 기존 27E 625.00억원 vs FnGuide 708.67억원 (+13.4%)</t>
        </is>
      </c>
    </row>
    <row r="64" ht="21.95" customHeight="1">
      <c r="A64" s="4" t="inlineStr">
        <is>
          <t>기가비스</t>
        </is>
      </c>
      <c r="B64" s="137" t="inlineStr">
        <is>
          <t>420770</t>
        </is>
      </c>
      <c r="C64" s="138" t="n">
        <v>16000</v>
      </c>
      <c r="D64" s="138" t="n">
        <v>818</v>
      </c>
      <c r="E64" s="138" t="n">
        <v>972</v>
      </c>
      <c r="F64" s="138" t="n">
        <v>20</v>
      </c>
      <c r="G64" s="138" t="n">
        <v>16.8</v>
      </c>
      <c r="H64" s="6" t="n"/>
      <c r="I64" s="7" t="n">
        <v>108400</v>
      </c>
      <c r="J64" s="7" t="n">
        <v>12675758</v>
      </c>
      <c r="K64" s="9" t="inlineStr">
        <is>
          <t>2026-10-15 정규장 종가</t>
        </is>
      </c>
      <c r="L64" s="4" t="inlineStr">
        <is>
          <t>사용자 첨부 IMG_7104~7108 / 원문 https://m.blog.naver.com/stockvera/224440085158</t>
        </is>
      </c>
      <c r="M64" s="4" t="inlineStr">
        <is>
          <t>https://polling.finance.naver.com/api/realtime/domestic/stock/420770</t>
        </is>
      </c>
      <c r="N64" s="4" t="inlineStr">
        <is>
          <t>https://polling.finance.naver.com/api/realtime/domestic/stock/420770</t>
        </is>
      </c>
      <c r="O64" s="139" t="n">
        <v>0.3073</v>
      </c>
      <c r="P64" s="4" t="inlineStr">
        <is>
          <t>IFRS연결</t>
        </is>
      </c>
      <c r="Q64" s="4" t="inlineStr">
        <is>
          <t>2026-10-14</t>
        </is>
      </c>
      <c r="R64" s="4" t="inlineStr">
        <is>
          <t>https://comp.wisereport.co.kr/company/ajax/c1050001_data.aspx?flag=2&amp;cmp_cd=420770&amp;finGubun=MAIN&amp;frq=0&amp;sDT=20261014&amp;chartType=image</t>
        </is>
      </c>
      <c r="S64" s="13" t="inlineStr">
        <is>
          <t>2027.12(E) ROE 직접 제공값과 대조 일치. 백분율 단위·종목코드 확인.</t>
        </is>
      </c>
      <c r="T64" s="140" t="n">
        <v>310.75</v>
      </c>
      <c r="U64" s="140" t="n">
        <v>333.62</v>
      </c>
      <c r="V64" s="4" t="inlineStr">
        <is>
          <t>IFRS연결</t>
        </is>
      </c>
      <c r="W64" s="15" t="inlineStr">
        <is>
          <t>https://comp.wisereport.co.kr/company/ajax/c1050001_data.aspx?flag=2&amp;cmp_cd=420770&amp;finGubun=MAIN&amp;frq=0&amp;sDT=20261014&amp;chartType=image</t>
        </is>
      </c>
      <c r="X64" s="15" t="inlineStr">
        <is>
          <t>27E 원표와 FnGuide 차이 10% 이내 또는 비교 자료 없음</t>
        </is>
      </c>
    </row>
    <row r="65" ht="21.95" customHeight="1">
      <c r="A65" s="4" t="inlineStr">
        <is>
          <t>사피엔반도체</t>
        </is>
      </c>
      <c r="B65" s="137" t="inlineStr">
        <is>
          <t>452430</t>
        </is>
      </c>
      <c r="C65" s="138" t="n">
        <v>2700</v>
      </c>
      <c r="D65" s="138" t="n">
        <v>134</v>
      </c>
      <c r="E65" s="138" t="n">
        <v>134</v>
      </c>
      <c r="F65" s="138" t="n">
        <v>20.1</v>
      </c>
      <c r="G65" s="138" t="n">
        <v>20.1</v>
      </c>
      <c r="H65" s="6" t="n"/>
      <c r="I65" s="7" t="n">
        <v>27700</v>
      </c>
      <c r="J65" s="7" t="n">
        <v>8255421</v>
      </c>
      <c r="K65" s="9" t="inlineStr">
        <is>
          <t>2026-10-15 정규장 종가</t>
        </is>
      </c>
      <c r="L65" s="4" t="inlineStr">
        <is>
          <t>사용자 첨부 IMG_7104~7108 / 원문 https://m.blog.naver.com/stockvera/224440085158</t>
        </is>
      </c>
      <c r="M65" s="4" t="inlineStr">
        <is>
          <t>https://polling.finance.naver.com/api/realtime/domestic/stock/452430</t>
        </is>
      </c>
      <c r="N65" s="4" t="inlineStr">
        <is>
          <t>https://polling.finance.naver.com/api/realtime/domestic/stock/452430</t>
        </is>
      </c>
      <c r="O65" s="139" t="n">
        <v>0.5876</v>
      </c>
      <c r="P65" s="4" t="inlineStr">
        <is>
          <t>IFRS별도</t>
        </is>
      </c>
      <c r="Q65" s="4" t="inlineStr">
        <is>
          <t>2026-10-14</t>
        </is>
      </c>
      <c r="R65" s="4" t="inlineStr">
        <is>
          <t>https://comp.wisereport.co.kr/company/ajax/c1050001_data.aspx?flag=2&amp;cmp_cd=452430&amp;finGubun=MAIN&amp;frq=0&amp;sDT=20261014&amp;chartType=image</t>
        </is>
      </c>
      <c r="S65" s="13" t="inlineStr">
        <is>
          <t>2027.12(E) ROE 직접 제공값과 대조 일치. 백분율 단위·종목코드 확인.</t>
        </is>
      </c>
      <c r="T65" s="140" t="n">
        <v>12</v>
      </c>
      <c r="U65" s="140" t="n">
        <v>12.33</v>
      </c>
      <c r="V65" s="4" t="inlineStr">
        <is>
          <t>IFRS별도</t>
        </is>
      </c>
      <c r="W65" s="15" t="inlineStr">
        <is>
          <t>https://comp.wisereport.co.kr/company/ajax/c1050001_data.aspx?flag=2&amp;cmp_cd=452430&amp;finGubun=MAIN&amp;frq=0&amp;sDT=20261014&amp;chartType=image</t>
        </is>
      </c>
      <c r="X65" s="15" t="inlineStr">
        <is>
          <t>27E 원표와 FnGuide 차이 10% 이내 또는 비교 자료 없음</t>
        </is>
      </c>
    </row>
    <row r="66" ht="21.95" customHeight="1">
      <c r="A66" s="4" t="inlineStr">
        <is>
          <t>네오셈</t>
        </is>
      </c>
      <c r="B66" s="137" t="inlineStr">
        <is>
          <t>253590</t>
        </is>
      </c>
      <c r="C66" s="138" t="n">
        <v>6883</v>
      </c>
      <c r="D66" s="138" t="n">
        <v>338</v>
      </c>
      <c r="E66" s="138" t="n">
        <v>389</v>
      </c>
      <c r="F66" s="138" t="n">
        <v>20.4</v>
      </c>
      <c r="G66" s="138" t="n">
        <v>17.7</v>
      </c>
      <c r="H66" s="6" t="inlineStr">
        <is>
          <t>†</t>
        </is>
      </c>
      <c r="I66" s="7" t="n">
        <v>12500</v>
      </c>
      <c r="J66" s="7" t="n">
        <v>43869164</v>
      </c>
      <c r="K66" s="9" t="inlineStr">
        <is>
          <t>2026-10-15 정규장 종가</t>
        </is>
      </c>
      <c r="L66" s="4" t="inlineStr">
        <is>
          <t>사용자 첨부 IMG_7104~7108 / 원문 https://m.blog.naver.com/stockvera/224440085158</t>
        </is>
      </c>
      <c r="M66" s="4" t="inlineStr">
        <is>
          <t>https://polling.finance.naver.com/api/realtime/domestic/stock/253590</t>
        </is>
      </c>
      <c r="N66" s="4" t="inlineStr">
        <is>
          <t>https://polling.finance.naver.com/api/realtime/domestic/stock/253590</t>
        </is>
      </c>
      <c r="O66" s="139" t="n">
        <v>0.2253</v>
      </c>
      <c r="P66" s="4" t="inlineStr">
        <is>
          <t>IFRS연결</t>
        </is>
      </c>
      <c r="Q66" s="4" t="inlineStr">
        <is>
          <t>2026-10-14</t>
        </is>
      </c>
      <c r="R66" s="4" t="inlineStr">
        <is>
          <t>https://comp.wisereport.co.kr/company/ajax/c1050001_data.aspx?flag=2&amp;cmp_cd=253590&amp;finGubun=MAIN&amp;frq=0&amp;sDT=20261014&amp;chartType=image</t>
        </is>
      </c>
      <c r="S66" s="13" t="inlineStr">
        <is>
          <t>2027.12(E) ROE 직접 제공값과 대조 일치. 백분율 단위·종목코드 확인.</t>
        </is>
      </c>
      <c r="T66" s="140" t="n">
        <v>257.5</v>
      </c>
      <c r="U66" s="140" t="n">
        <v>279.4</v>
      </c>
      <c r="V66" s="4" t="inlineStr">
        <is>
          <t>IFRS연결</t>
        </is>
      </c>
      <c r="W66" s="15" t="inlineStr">
        <is>
          <t>https://comp.wisereport.co.kr/company/ajax/c1050001_data.aspx?flag=2&amp;cmp_cd=253590&amp;finGubun=MAIN&amp;frq=0&amp;sDT=20261014&amp;chartType=image</t>
        </is>
      </c>
      <c r="X66" s="15" t="inlineStr">
        <is>
          <t>27E 원표와 FnGuide 차이 10% 이내 또는 비교 자료 없음</t>
        </is>
      </c>
    </row>
    <row r="67" ht="21.95" customHeight="1">
      <c r="A67" s="4" t="inlineStr">
        <is>
          <t>세미파이브</t>
        </is>
      </c>
      <c r="B67" s="137" t="inlineStr">
        <is>
          <t>490470</t>
        </is>
      </c>
      <c r="C67" s="138" t="n">
        <v>6890</v>
      </c>
      <c r="D67" s="138" t="n">
        <v>337</v>
      </c>
      <c r="E67" s="138" t="n">
        <v>358</v>
      </c>
      <c r="F67" s="138" t="n">
        <v>20.4</v>
      </c>
      <c r="G67" s="138" t="n">
        <v>19.2</v>
      </c>
      <c r="H67" s="6" t="n"/>
      <c r="I67" s="7" t="n">
        <v>15450</v>
      </c>
      <c r="J67" s="7" t="n">
        <v>34025440</v>
      </c>
      <c r="K67" s="9" t="inlineStr">
        <is>
          <t>2026-10-15 정규장 종가</t>
        </is>
      </c>
      <c r="L67" s="4" t="inlineStr">
        <is>
          <t>사용자 첨부 IMG_7104~7108 / 원문 https://m.blog.naver.com/stockvera/224440085158</t>
        </is>
      </c>
      <c r="M67" s="4" t="inlineStr">
        <is>
          <t>https://polling.finance.naver.com/api/realtime/domestic/stock/490470</t>
        </is>
      </c>
      <c r="N67" s="4" t="inlineStr">
        <is>
          <t>https://polling.finance.naver.com/api/realtime/domestic/stock/490470</t>
        </is>
      </c>
      <c r="O67" s="139" t="n">
        <v>0.1438</v>
      </c>
      <c r="P67" s="4" t="inlineStr">
        <is>
          <t>IFRS연결</t>
        </is>
      </c>
      <c r="Q67" s="4" t="inlineStr">
        <is>
          <t>2026-10-14</t>
        </is>
      </c>
      <c r="R67" s="4" t="inlineStr">
        <is>
          <t>https://comp.wisereport.co.kr/company/ajax/c1050001_data.aspx?flag=2&amp;cmp_cd=490470&amp;finGubun=MAIN&amp;frq=0&amp;sDT=20261014&amp;chartType=image</t>
        </is>
      </c>
      <c r="S67" s="13" t="inlineStr">
        <is>
          <t>2027.12(E) ROE 직접 제공값과 대조 일치. 백분율 단위·종목코드 확인.</t>
        </is>
      </c>
      <c r="T67" s="140" t="n">
        <v>-14.5</v>
      </c>
      <c r="U67" s="140" t="n">
        <v>3</v>
      </c>
      <c r="V67" s="4" t="inlineStr">
        <is>
          <t>IFRS연결</t>
        </is>
      </c>
      <c r="W67" s="15" t="inlineStr">
        <is>
          <t>https://comp.wisereport.co.kr/company/ajax/c1050001_data.aspx?flag=2&amp;cmp_cd=490470&amp;finGubun=MAIN&amp;frq=0&amp;sDT=20261014&amp;chartType=image</t>
        </is>
      </c>
      <c r="X67" s="15" t="inlineStr">
        <is>
          <t>27E 원표와 FnGuide 차이 10% 이내 또는 비교 자료 없음</t>
        </is>
      </c>
    </row>
    <row r="68" ht="21.95" customHeight="1">
      <c r="A68" s="4" t="inlineStr">
        <is>
          <t>피에스케이</t>
        </is>
      </c>
      <c r="B68" s="137" t="inlineStr">
        <is>
          <t>319660</t>
        </is>
      </c>
      <c r="C68" s="138" t="n">
        <v>41000</v>
      </c>
      <c r="D68" s="138" t="n">
        <v>1981</v>
      </c>
      <c r="E68" s="138" t="n">
        <v>2325</v>
      </c>
      <c r="F68" s="138" t="n">
        <v>20.5</v>
      </c>
      <c r="G68" s="138" t="n">
        <v>17.4</v>
      </c>
      <c r="H68" s="6" t="n"/>
      <c r="I68" s="7" t="n">
        <v>114800</v>
      </c>
      <c r="J68" s="7" t="n">
        <v>28966714</v>
      </c>
      <c r="K68" s="9" t="inlineStr">
        <is>
          <t>2026-10-15 정규장 종가</t>
        </is>
      </c>
      <c r="L68" s="4" t="inlineStr">
        <is>
          <t>사용자 첨부 IMG_7104~7108 / 원문 https://m.blog.naver.com/stockvera/224440085158</t>
        </is>
      </c>
      <c r="M68" s="4" t="inlineStr">
        <is>
          <t>https://polling.finance.naver.com/api/realtime/domestic/stock/319660</t>
        </is>
      </c>
      <c r="N68" s="4" t="inlineStr">
        <is>
          <t>https://polling.finance.naver.com/api/realtime/domestic/stock/319660</t>
        </is>
      </c>
      <c r="O68" s="139" t="n">
        <v>0.2558</v>
      </c>
      <c r="P68" s="4" t="inlineStr">
        <is>
          <t>IFRS연결</t>
        </is>
      </c>
      <c r="Q68" s="4" t="inlineStr">
        <is>
          <t>2026-10-14</t>
        </is>
      </c>
      <c r="R68" s="4" t="inlineStr">
        <is>
          <t>https://comp.wisereport.co.kr/company/ajax/c1050001_data.aspx?flag=2&amp;cmp_cd=319660&amp;finGubun=MAIN&amp;frq=0&amp;sDT=20261014&amp;chartType=image</t>
        </is>
      </c>
      <c r="S68" s="13" t="inlineStr">
        <is>
          <t>2027.12(E) ROE 직접 제공값과 대조 일치. 백분율 단위·종목코드 확인.</t>
        </is>
      </c>
      <c r="T68" s="140" t="n">
        <v>1650.5</v>
      </c>
      <c r="U68" s="140" t="n">
        <v>1915</v>
      </c>
      <c r="V68" s="4" t="inlineStr">
        <is>
          <t>IFRS연결</t>
        </is>
      </c>
      <c r="W68" s="15" t="inlineStr">
        <is>
          <t>https://comp.wisereport.co.kr/company/ajax/c1050001_data.aspx?flag=2&amp;cmp_cd=319660&amp;finGubun=MAIN&amp;frq=0&amp;sDT=20261014&amp;chartType=image</t>
        </is>
      </c>
      <c r="X68" s="15" t="inlineStr">
        <is>
          <t>27E 원표와 FnGuide 차이 10% 이내 또는 비교 자료 없음</t>
        </is>
      </c>
    </row>
    <row r="69" ht="21.95" customHeight="1">
      <c r="A69" s="4" t="inlineStr">
        <is>
          <t>이수페타시스</t>
        </is>
      </c>
      <c r="B69" s="137" t="inlineStr">
        <is>
          <t>007660</t>
        </is>
      </c>
      <c r="C69" s="138" t="n">
        <v>89000</v>
      </c>
      <c r="D69" s="138" t="n">
        <v>4240</v>
      </c>
      <c r="E69" s="138" t="n">
        <v>5292</v>
      </c>
      <c r="F69" s="138" t="n">
        <v>20.9</v>
      </c>
      <c r="G69" s="138" t="n">
        <v>16.8</v>
      </c>
      <c r="H69" s="6" t="n"/>
      <c r="I69" s="7" t="n">
        <v>92100</v>
      </c>
      <c r="J69" s="7" t="n">
        <v>73409219</v>
      </c>
      <c r="K69" s="9" t="inlineStr">
        <is>
          <t>2026-10-15 정규장 종가</t>
        </is>
      </c>
      <c r="L69" s="4" t="inlineStr">
        <is>
          <t>사용자 첨부 IMG_7104~7108 / 원문 https://m.blog.naver.com/stockvera/224440085158</t>
        </is>
      </c>
      <c r="M69" s="4" t="inlineStr">
        <is>
          <t>https://polling.finance.naver.com/api/realtime/domestic/stock/007660</t>
        </is>
      </c>
      <c r="N69" s="4" t="inlineStr">
        <is>
          <t>https://polling.finance.naver.com/api/realtime/domestic/stock/007660</t>
        </is>
      </c>
      <c r="O69" s="139" t="n">
        <v>0.347</v>
      </c>
      <c r="P69" s="4" t="inlineStr">
        <is>
          <t>IFRS연결</t>
        </is>
      </c>
      <c r="Q69" s="4" t="inlineStr">
        <is>
          <t>2026-10-14</t>
        </is>
      </c>
      <c r="R69" s="4" t="inlineStr">
        <is>
          <t>https://comp.wisereport.co.kr/company/ajax/c1050001_data.aspx?flag=2&amp;cmp_cd=007660&amp;finGubun=MAIN&amp;frq=0&amp;sDT=20261014&amp;chartType=image</t>
        </is>
      </c>
      <c r="S69" s="13" t="inlineStr">
        <is>
          <t>2027.12(E) ROE 직접 제공값과 대조 일치. 백분율 단위·종목코드 확인.</t>
        </is>
      </c>
      <c r="T69" s="140" t="n">
        <v>2743</v>
      </c>
      <c r="U69" s="140" t="n">
        <v>3491.33</v>
      </c>
      <c r="V69" s="4" t="inlineStr">
        <is>
          <t>IFRS연결</t>
        </is>
      </c>
      <c r="W69" s="15" t="inlineStr">
        <is>
          <t>https://comp.wisereport.co.kr/company/ajax/c1050001_data.aspx?flag=2&amp;cmp_cd=007660&amp;finGubun=MAIN&amp;frq=0&amp;sDT=20261014&amp;chartType=image</t>
        </is>
      </c>
      <c r="X69" s="15" t="inlineStr">
        <is>
          <t>27E 원표와 FnGuide 차이 10% 이내 또는 비교 자료 없음</t>
        </is>
      </c>
    </row>
    <row r="70" ht="21.95" customHeight="1">
      <c r="A70" s="4" t="inlineStr">
        <is>
          <t>후성</t>
        </is>
      </c>
      <c r="B70" s="137" t="inlineStr">
        <is>
          <t>093370</t>
        </is>
      </c>
      <c r="C70" s="138" t="n">
        <v>15000</v>
      </c>
      <c r="D70" s="138" t="n">
        <v>717</v>
      </c>
      <c r="E70" s="138" t="n">
        <v>1057</v>
      </c>
      <c r="F70" s="138" t="n">
        <v>21.4</v>
      </c>
      <c r="G70" s="138" t="n">
        <v>14.5</v>
      </c>
      <c r="H70" s="6" t="inlineStr">
        <is>
          <t>†</t>
        </is>
      </c>
      <c r="I70" s="7" t="n">
        <v>11800</v>
      </c>
      <c r="J70" s="7" t="n">
        <v>107255330</v>
      </c>
      <c r="K70" s="9" t="inlineStr">
        <is>
          <t>2026-10-15 정규장 종가</t>
        </is>
      </c>
      <c r="L70" s="4" t="inlineStr">
        <is>
          <t>사용자 첨부 IMG_7104~7108 / 원문 https://m.blog.naver.com/stockvera/224440085158</t>
        </is>
      </c>
      <c r="M70" s="4" t="inlineStr">
        <is>
          <t>https://polling.finance.naver.com/api/realtime/domestic/stock/093370</t>
        </is>
      </c>
      <c r="N70" s="4" t="inlineStr">
        <is>
          <t>https://polling.finance.naver.com/api/realtime/domestic/stock/093370</t>
        </is>
      </c>
      <c r="O70" s="139" t="n">
        <v>0.1775</v>
      </c>
      <c r="P70" s="4" t="inlineStr">
        <is>
          <t>IFRS연결</t>
        </is>
      </c>
      <c r="Q70" s="4" t="inlineStr">
        <is>
          <t>2026-10-14</t>
        </is>
      </c>
      <c r="R70" s="4" t="inlineStr">
        <is>
          <t>https://comp.wisereport.co.kr/company/ajax/c1050001_data.aspx?flag=2&amp;cmp_cd=093370&amp;finGubun=MAIN&amp;frq=0&amp;sDT=20261014&amp;chartType=image</t>
        </is>
      </c>
      <c r="S70" s="13" t="inlineStr">
        <is>
          <t>2027.12(E) ROE 직접 제공값과 대조 일치. 백분율 단위·종목코드 확인.</t>
        </is>
      </c>
      <c r="T70" s="140" t="n">
        <v>402</v>
      </c>
      <c r="U70" s="140" t="n">
        <v>765</v>
      </c>
      <c r="V70" s="4" t="inlineStr">
        <is>
          <t>IFRS연결</t>
        </is>
      </c>
      <c r="W70" s="15" t="inlineStr">
        <is>
          <t>https://comp.wisereport.co.kr/company/ajax/c1050001_data.aspx?flag=2&amp;cmp_cd=093370&amp;finGubun=MAIN&amp;frq=0&amp;sDT=20261014&amp;chartType=image</t>
        </is>
      </c>
      <c r="X70" s="15" t="inlineStr">
        <is>
          <t>27E 원표와 FnGuide 차이 10% 이내 또는 비교 자료 없음</t>
        </is>
      </c>
    </row>
    <row r="71" ht="21.95" customHeight="1">
      <c r="A71" s="4" t="inlineStr">
        <is>
          <t>피에스케이홀딩스</t>
        </is>
      </c>
      <c r="B71" s="137" t="inlineStr">
        <is>
          <t>031980</t>
        </is>
      </c>
      <c r="C71" s="138" t="n">
        <v>43000</v>
      </c>
      <c r="D71" s="138" t="n">
        <v>2019</v>
      </c>
      <c r="E71" s="138" t="n">
        <v>1657</v>
      </c>
      <c r="F71" s="138" t="n">
        <v>21.5</v>
      </c>
      <c r="G71" s="138" t="n">
        <v>26.2</v>
      </c>
      <c r="H71" s="6" t="n"/>
      <c r="I71" s="7" t="n">
        <v>179700</v>
      </c>
      <c r="J71" s="7" t="n">
        <v>21562395</v>
      </c>
      <c r="K71" s="9" t="inlineStr">
        <is>
          <t>2026-10-15 정규장 종가</t>
        </is>
      </c>
      <c r="L71" s="4" t="inlineStr">
        <is>
          <t>사용자 첨부 IMG_7104~7108 / 원문 https://m.blog.naver.com/stockvera/224440085158</t>
        </is>
      </c>
      <c r="M71" s="4" t="inlineStr">
        <is>
          <t>https://polling.finance.naver.com/api/realtime/domestic/stock/031980</t>
        </is>
      </c>
      <c r="N71" s="4" t="inlineStr">
        <is>
          <t>https://polling.finance.naver.com/api/realtime/domestic/stock/031980</t>
        </is>
      </c>
      <c r="O71" s="139" t="n">
        <v>0.2926</v>
      </c>
      <c r="P71" s="4" t="inlineStr">
        <is>
          <t>IFRS연결</t>
        </is>
      </c>
      <c r="Q71" s="4" t="inlineStr">
        <is>
          <t>2026-10-14</t>
        </is>
      </c>
      <c r="R71" s="4" t="inlineStr">
        <is>
          <t>https://comp.wisereport.co.kr/company/ajax/c1050001_data.aspx?flag=2&amp;cmp_cd=031980&amp;finGubun=MAIN&amp;frq=0&amp;sDT=20261014&amp;chartType=image</t>
        </is>
      </c>
      <c r="S71" s="13" t="inlineStr">
        <is>
          <t>2027.12(E) ROE 직접 제공값과 대조 일치. 백분율 단위·종목코드 확인.</t>
        </is>
      </c>
      <c r="T71" s="140" t="n">
        <v>1436.4</v>
      </c>
      <c r="U71" s="140" t="n">
        <v>1103.2</v>
      </c>
      <c r="V71" s="4" t="inlineStr">
        <is>
          <t>IFRS연결</t>
        </is>
      </c>
      <c r="W71" s="15" t="inlineStr">
        <is>
          <t>https://comp.wisereport.co.kr/company/ajax/c1050001_data.aspx?flag=2&amp;cmp_cd=031980&amp;finGubun=MAIN&amp;frq=0&amp;sDT=20261014&amp;chartType=image</t>
        </is>
      </c>
      <c r="X71" s="15" t="inlineStr">
        <is>
          <t>27E 원표와 FnGuide 차이 10% 이내 또는 비교 자료 없음</t>
        </is>
      </c>
    </row>
    <row r="72" ht="21.95" customHeight="1">
      <c r="A72" s="4" t="inlineStr">
        <is>
          <t>대덕전자</t>
        </is>
      </c>
      <c r="B72" s="137" t="inlineStr">
        <is>
          <t>353200</t>
        </is>
      </c>
      <c r="C72" s="138" t="n">
        <v>73000</v>
      </c>
      <c r="D72" s="138" t="n">
        <v>3323</v>
      </c>
      <c r="E72" s="138" t="n">
        <v>4098</v>
      </c>
      <c r="F72" s="138" t="n">
        <v>21.8</v>
      </c>
      <c r="G72" s="138" t="n">
        <v>17.7</v>
      </c>
      <c r="H72" s="6" t="n"/>
      <c r="I72" s="7" t="n">
        <v>122700</v>
      </c>
      <c r="J72" s="7" t="n">
        <v>49416925</v>
      </c>
      <c r="K72" s="9" t="inlineStr">
        <is>
          <t>2026-10-15 정규장 종가</t>
        </is>
      </c>
      <c r="L72" s="4" t="inlineStr">
        <is>
          <t>사용자 첨부 IMG_7104~7108 / 원문 https://m.blog.naver.com/stockvera/224440085158</t>
        </is>
      </c>
      <c r="M72" s="4" t="inlineStr">
        <is>
          <t>https://polling.finance.naver.com/api/realtime/domestic/stock/353200</t>
        </is>
      </c>
      <c r="N72" s="4" t="inlineStr">
        <is>
          <t>https://polling.finance.naver.com/api/realtime/domestic/stock/353200</t>
        </is>
      </c>
      <c r="O72" s="139" t="n">
        <v>0.2657</v>
      </c>
      <c r="P72" s="4" t="inlineStr">
        <is>
          <t>IFRS연결</t>
        </is>
      </c>
      <c r="Q72" s="4" t="inlineStr">
        <is>
          <t>2026-10-14</t>
        </is>
      </c>
      <c r="R72" s="4" t="inlineStr">
        <is>
          <t>https://comp.wisereport.co.kr/company/ajax/c1050001_data.aspx?flag=2&amp;cmp_cd=353200&amp;finGubun=MAIN&amp;frq=0&amp;sDT=20261014&amp;chartType=image</t>
        </is>
      </c>
      <c r="S72" s="13" t="inlineStr">
        <is>
          <t>2027.12(E) ROE 직접 제공값과 대조 일치. 백분율 단위·종목코드 확인.</t>
        </is>
      </c>
      <c r="T72" s="140" t="n">
        <v>2319.42</v>
      </c>
      <c r="U72" s="140" t="n">
        <v>2775</v>
      </c>
      <c r="V72" s="4" t="inlineStr">
        <is>
          <t>IFRS연결</t>
        </is>
      </c>
      <c r="W72" s="15" t="inlineStr">
        <is>
          <t>https://comp.wisereport.co.kr/company/ajax/c1050001_data.aspx?flag=2&amp;cmp_cd=353200&amp;finGubun=MAIN&amp;frq=0&amp;sDT=20261014&amp;chartType=image</t>
        </is>
      </c>
      <c r="X72" s="15" t="inlineStr">
        <is>
          <t>27E 원표와 FnGuide 차이 10% 이내 또는 비교 자료 없음</t>
        </is>
      </c>
    </row>
    <row r="73" ht="21.95" customHeight="1">
      <c r="A73" s="4" t="inlineStr">
        <is>
          <t>샘씨엔에스</t>
        </is>
      </c>
      <c r="B73" s="137" t="inlineStr">
        <is>
          <t>252990</t>
        </is>
      </c>
      <c r="C73" s="138" t="n">
        <v>11000</v>
      </c>
      <c r="D73" s="138" t="n">
        <v>470</v>
      </c>
      <c r="E73" s="138" t="n">
        <v>469</v>
      </c>
      <c r="F73" s="138" t="n">
        <v>22.7</v>
      </c>
      <c r="G73" s="138" t="n">
        <v>22.8</v>
      </c>
      <c r="H73" s="6" t="n"/>
      <c r="I73" s="7" t="n">
        <v>14320</v>
      </c>
      <c r="J73" s="7" t="n">
        <v>60217889</v>
      </c>
      <c r="K73" s="9" t="inlineStr">
        <is>
          <t>2026-10-15 정규장 종가</t>
        </is>
      </c>
      <c r="L73" s="4" t="inlineStr">
        <is>
          <t>사용자 첨부 IMG_7104~7108 / 원문 https://m.blog.naver.com/stockvera/224440085158</t>
        </is>
      </c>
      <c r="M73" s="4" t="inlineStr">
        <is>
          <t>https://polling.finance.naver.com/api/realtime/domestic/stock/252990</t>
        </is>
      </c>
      <c r="N73" s="4" t="inlineStr">
        <is>
          <t>https://polling.finance.naver.com/api/realtime/domestic/stock/252990</t>
        </is>
      </c>
      <c r="O73" s="139" t="n">
        <v>0.2073</v>
      </c>
      <c r="P73" s="4" t="inlineStr">
        <is>
          <t>IFRS별도</t>
        </is>
      </c>
      <c r="Q73" s="4" t="inlineStr">
        <is>
          <t>2026-10-14</t>
        </is>
      </c>
      <c r="R73" s="4" t="inlineStr">
        <is>
          <t>https://comp.wisereport.co.kr/company/ajax/c1050001_data.aspx?flag=2&amp;cmp_cd=252990&amp;finGubun=MAIN&amp;frq=0&amp;sDT=20261014&amp;chartType=image</t>
        </is>
      </c>
      <c r="S73" s="13" t="inlineStr">
        <is>
          <t>2027.12(E) ROE 직접 제공값과 대조 일치. 백분율 단위·종목코드 확인.</t>
        </is>
      </c>
      <c r="T73" s="140" t="n">
        <v>358.33</v>
      </c>
      <c r="U73" s="140" t="n">
        <v>348.67</v>
      </c>
      <c r="V73" s="4" t="inlineStr">
        <is>
          <t>IFRS별도</t>
        </is>
      </c>
      <c r="W73" s="15" t="inlineStr">
        <is>
          <t>https://comp.wisereport.co.kr/company/ajax/c1050001_data.aspx?flag=2&amp;cmp_cd=252990&amp;finGubun=MAIN&amp;frq=0&amp;sDT=20261014&amp;chartType=image</t>
        </is>
      </c>
      <c r="X73" s="15" t="inlineStr">
        <is>
          <t>27E 원표와 FnGuide 차이 10% 이내 또는 비교 자료 없음</t>
        </is>
      </c>
    </row>
    <row r="74" ht="21.95" customHeight="1">
      <c r="A74" s="4" t="inlineStr">
        <is>
          <t>코미코</t>
        </is>
      </c>
      <c r="B74" s="137" t="inlineStr">
        <is>
          <t>183300</t>
        </is>
      </c>
      <c r="C74" s="138" t="n">
        <v>16000</v>
      </c>
      <c r="D74" s="138" t="n">
        <v>720</v>
      </c>
      <c r="E74" s="138" t="n">
        <v>1630</v>
      </c>
      <c r="F74" s="138" t="n">
        <v>22.8</v>
      </c>
      <c r="G74" s="138" t="n">
        <v>10.1</v>
      </c>
      <c r="H74" s="6" t="inlineStr">
        <is>
          <t>†</t>
        </is>
      </c>
      <c r="I74" s="7" t="n">
        <v>23900</v>
      </c>
      <c r="J74" s="7" t="n">
        <v>51363275</v>
      </c>
      <c r="K74" s="9" t="inlineStr">
        <is>
          <t>2026-10-15 정규장 종가</t>
        </is>
      </c>
      <c r="L74" s="4" t="inlineStr">
        <is>
          <t>사용자 첨부 IMG_7104~7108 / 원문 https://m.blog.naver.com/stockvera/224440085158</t>
        </is>
      </c>
      <c r="M74" s="4" t="inlineStr">
        <is>
          <t>https://polling.finance.naver.com/api/realtime/domestic/stock/183300</t>
        </is>
      </c>
      <c r="N74" s="4" t="inlineStr">
        <is>
          <t>https://polling.finance.naver.com/api/realtime/domestic/stock/183300</t>
        </is>
      </c>
      <c r="O74" s="139" t="n">
        <v>0.1989</v>
      </c>
      <c r="P74" s="4" t="inlineStr">
        <is>
          <t>IFRS연결</t>
        </is>
      </c>
      <c r="Q74" s="4" t="inlineStr">
        <is>
          <t>2026-10-14</t>
        </is>
      </c>
      <c r="R74" s="4" t="inlineStr">
        <is>
          <t>https://comp.wisereport.co.kr/company/ajax/c1050001_data.aspx?flag=2&amp;cmp_cd=183300&amp;finGubun=MAIN&amp;frq=0&amp;sDT=20261014&amp;chartType=image</t>
        </is>
      </c>
      <c r="S74" s="13" t="inlineStr">
        <is>
          <t>2027.12(E) ROE 직접 제공값과 대조 일치. 백분율 단위·종목코드 확인.</t>
        </is>
      </c>
      <c r="T74" s="140" t="n">
        <v>540</v>
      </c>
      <c r="U74" s="140" t="n">
        <v>1200</v>
      </c>
      <c r="V74" s="4" t="inlineStr">
        <is>
          <t>IFRS연결</t>
        </is>
      </c>
      <c r="W74" s="15" t="inlineStr">
        <is>
          <t>https://comp.wisereport.co.kr/company/ajax/c1050001_data.aspx?flag=2&amp;cmp_cd=183300&amp;finGubun=MAIN&amp;frq=0&amp;sDT=20261014&amp;chartType=image</t>
        </is>
      </c>
      <c r="X74" s="15" t="inlineStr">
        <is>
          <t>27E 원표와 FnGuide 차이 10% 이내 또는 비교 자료 없음</t>
        </is>
      </c>
    </row>
    <row r="75" ht="21.95" customHeight="1">
      <c r="A75" s="4" t="inlineStr">
        <is>
          <t>테스</t>
        </is>
      </c>
      <c r="B75" s="137" t="inlineStr">
        <is>
          <t>095610</t>
        </is>
      </c>
      <c r="C75" s="138" t="n">
        <v>31000</v>
      </c>
      <c r="D75" s="138" t="n">
        <v>1347</v>
      </c>
      <c r="E75" s="138" t="n">
        <v>1410</v>
      </c>
      <c r="F75" s="138" t="n">
        <v>23.3</v>
      </c>
      <c r="G75" s="138" t="n">
        <v>22.2</v>
      </c>
      <c r="H75" s="6" t="n"/>
      <c r="I75" s="7" t="n">
        <v>120000</v>
      </c>
      <c r="J75" s="7" t="n">
        <v>19360000</v>
      </c>
      <c r="K75" s="9" t="inlineStr">
        <is>
          <t>2026-10-15 정규장 종가</t>
        </is>
      </c>
      <c r="L75" s="4" t="inlineStr">
        <is>
          <t>사용자 첨부 IMG_7104~7108 / 원문 https://m.blog.naver.com/stockvera/224440085158</t>
        </is>
      </c>
      <c r="M75" s="4" t="inlineStr">
        <is>
          <t>https://polling.finance.naver.com/api/realtime/domestic/stock/095610</t>
        </is>
      </c>
      <c r="N75" s="4" t="inlineStr">
        <is>
          <t>https://polling.finance.naver.com/api/realtime/domestic/stock/095610</t>
        </is>
      </c>
      <c r="O75" s="139" t="n">
        <v>0.2416</v>
      </c>
      <c r="P75" s="4" t="inlineStr">
        <is>
          <t>IFRS연결</t>
        </is>
      </c>
      <c r="Q75" s="4" t="inlineStr">
        <is>
          <t>2026-10-14</t>
        </is>
      </c>
      <c r="R75" s="4" t="inlineStr">
        <is>
          <t>https://comp.wisereport.co.kr/company/ajax/c1050001_data.aspx?flag=2&amp;cmp_cd=095610&amp;finGubun=MAIN&amp;frq=0&amp;sDT=20261014&amp;chartType=image</t>
        </is>
      </c>
      <c r="S75" s="13" t="inlineStr">
        <is>
          <t>2027.12(E) ROE 직접 제공값과 대조 일치. 백분율 단위·종목코드 확인.</t>
        </is>
      </c>
      <c r="T75" s="140" t="n">
        <v>1059.5</v>
      </c>
      <c r="U75" s="140" t="n">
        <v>1037.57</v>
      </c>
      <c r="V75" s="4" t="inlineStr">
        <is>
          <t>IFRS연결</t>
        </is>
      </c>
      <c r="W75" s="15" t="inlineStr">
        <is>
          <t>https://comp.wisereport.co.kr/company/ajax/c1050001_data.aspx?flag=2&amp;cmp_cd=095610&amp;finGubun=MAIN&amp;frq=0&amp;sDT=20261014&amp;chartType=image</t>
        </is>
      </c>
      <c r="X75" s="15" t="inlineStr">
        <is>
          <t>27E 원표와 FnGuide 차이 10% 이내 또는 비교 자료 없음</t>
        </is>
      </c>
    </row>
    <row r="76" ht="21.95" customHeight="1">
      <c r="A76" s="4" t="inlineStr">
        <is>
          <t>티씨케이</t>
        </is>
      </c>
      <c r="B76" s="137" t="inlineStr">
        <is>
          <t>064760</t>
        </is>
      </c>
      <c r="C76" s="138" t="n">
        <v>32000</v>
      </c>
      <c r="D76" s="138" t="n">
        <v>1396</v>
      </c>
      <c r="E76" s="138" t="n">
        <v>1682</v>
      </c>
      <c r="F76" s="138" t="n">
        <v>23.3</v>
      </c>
      <c r="G76" s="138" t="n">
        <v>19.3</v>
      </c>
      <c r="H76" s="6" t="n"/>
      <c r="I76" s="7" t="n">
        <v>219000</v>
      </c>
      <c r="J76" s="7" t="n">
        <v>11179416</v>
      </c>
      <c r="K76" s="9" t="inlineStr">
        <is>
          <t>2026-10-15 정규장 종가</t>
        </is>
      </c>
      <c r="L76" s="4" t="inlineStr">
        <is>
          <t>사용자 첨부 IMG_7104~7108 / 원문 https://m.blog.naver.com/stockvera/224440085158</t>
        </is>
      </c>
      <c r="M76" s="4" t="inlineStr">
        <is>
          <t>https://polling.finance.naver.com/api/realtime/domestic/stock/064760</t>
        </is>
      </c>
      <c r="N76" s="4" t="inlineStr">
        <is>
          <t>https://polling.finance.naver.com/api/realtime/domestic/stock/064760</t>
        </is>
      </c>
      <c r="O76" s="139" t="n">
        <v>0.2101</v>
      </c>
      <c r="P76" s="4" t="inlineStr">
        <is>
          <t>IFRS별도</t>
        </is>
      </c>
      <c r="Q76" s="4" t="inlineStr">
        <is>
          <t>2026-10-14</t>
        </is>
      </c>
      <c r="R76" s="4" t="inlineStr">
        <is>
          <t>https://comp.wisereport.co.kr/company/ajax/c1050001_data.aspx?flag=2&amp;cmp_cd=064760&amp;finGubun=MAIN&amp;frq=0&amp;sDT=20261014&amp;chartType=image</t>
        </is>
      </c>
      <c r="S76" s="13" t="inlineStr">
        <is>
          <t>2027.12(E) ROE 직접 제공값과 대조 일치. 백분율 단위·종목코드 확인.</t>
        </is>
      </c>
      <c r="T76" s="140" t="n">
        <v>1072.17</v>
      </c>
      <c r="U76" s="140" t="n">
        <v>1241.83</v>
      </c>
      <c r="V76" s="4" t="inlineStr">
        <is>
          <t>IFRS별도</t>
        </is>
      </c>
      <c r="W76" s="15" t="inlineStr">
        <is>
          <t>https://comp.wisereport.co.kr/company/ajax/c1050001_data.aspx?flag=2&amp;cmp_cd=064760&amp;finGubun=MAIN&amp;frq=0&amp;sDT=20261014&amp;chartType=image</t>
        </is>
      </c>
      <c r="X76" s="15" t="inlineStr">
        <is>
          <t>27E 원표와 FnGuide 차이 10% 이내 또는 비교 자료 없음</t>
        </is>
      </c>
    </row>
    <row r="77" ht="21.95" customHeight="1">
      <c r="A77" s="4" t="inlineStr">
        <is>
          <t>칩스앤미디어</t>
        </is>
      </c>
      <c r="B77" s="137" t="inlineStr">
        <is>
          <t>094360</t>
        </is>
      </c>
      <c r="C77" s="138" t="n">
        <v>2573</v>
      </c>
      <c r="D77" s="138" t="n">
        <v>110</v>
      </c>
      <c r="E77" s="138" t="n">
        <v>93</v>
      </c>
      <c r="F77" s="138" t="n">
        <v>23.3</v>
      </c>
      <c r="G77" s="138" t="n">
        <v>27.7</v>
      </c>
      <c r="H77" s="6" t="n"/>
      <c r="I77" s="7" t="n">
        <v>10840</v>
      </c>
      <c r="J77" s="7" t="n">
        <v>21355274</v>
      </c>
      <c r="K77" s="9" t="inlineStr">
        <is>
          <t>2026-10-15 정규장 종가</t>
        </is>
      </c>
      <c r="L77" s="4" t="inlineStr">
        <is>
          <t>사용자 첨부 IMG_7104~7108 / 원문 https://m.blog.naver.com/stockvera/224440085158</t>
        </is>
      </c>
      <c r="M77" s="4" t="inlineStr">
        <is>
          <t>https://polling.finance.naver.com/api/realtime/domestic/stock/094360</t>
        </is>
      </c>
      <c r="N77" s="4" t="inlineStr">
        <is>
          <t>https://polling.finance.naver.com/api/realtime/domestic/stock/094360</t>
        </is>
      </c>
      <c r="O77" s="139" t="n">
        <v>0.1294</v>
      </c>
      <c r="P77" s="4" t="inlineStr">
        <is>
          <t>IFRS연결</t>
        </is>
      </c>
      <c r="Q77" s="4" t="inlineStr">
        <is>
          <t>2026-10-14</t>
        </is>
      </c>
      <c r="R77" s="4" t="inlineStr">
        <is>
          <t>https://comp.wisereport.co.kr/company/ajax/c1050001_data.aspx?flag=2&amp;cmp_cd=094360&amp;finGubun=MAIN&amp;frq=0&amp;sDT=20261014&amp;chartType=image</t>
        </is>
      </c>
      <c r="S77" s="13" t="inlineStr">
        <is>
          <t>2027.12(E) ROE 직접 제공값과 대조 일치. 백분율 단위·종목코드 확인.</t>
        </is>
      </c>
      <c r="T77" s="140" t="n">
        <v>95</v>
      </c>
      <c r="U77" s="140" t="n">
        <v>70</v>
      </c>
      <c r="V77" s="4" t="inlineStr">
        <is>
          <t>IFRS연결</t>
        </is>
      </c>
      <c r="W77" s="15" t="inlineStr">
        <is>
          <t>https://comp.wisereport.co.kr/company/ajax/c1050001_data.aspx?flag=2&amp;cmp_cd=094360&amp;finGubun=MAIN&amp;frq=0&amp;sDT=20261014&amp;chartType=image</t>
        </is>
      </c>
      <c r="X77" s="15" t="inlineStr">
        <is>
          <t>27E 원표와 FnGuide 차이 10% 이내 또는 비교 자료 없음</t>
        </is>
      </c>
    </row>
    <row r="78" ht="21.95" customHeight="1">
      <c r="A78" s="4" t="inlineStr">
        <is>
          <t>에이직랜드</t>
        </is>
      </c>
      <c r="B78" s="137" t="inlineStr">
        <is>
          <t>445090</t>
        </is>
      </c>
      <c r="C78" s="138" t="n">
        <v>2333</v>
      </c>
      <c r="D78" s="138" t="n">
        <v>92</v>
      </c>
      <c r="E78" s="138" t="n">
        <v>92</v>
      </c>
      <c r="F78" s="138" t="n">
        <v>25.4</v>
      </c>
      <c r="G78" s="138" t="n">
        <v>25.4</v>
      </c>
      <c r="H78" s="6" t="n"/>
      <c r="I78" s="7" t="n">
        <v>17630</v>
      </c>
      <c r="J78" s="7" t="n">
        <v>10925658</v>
      </c>
      <c r="K78" s="9" t="inlineStr">
        <is>
          <t>2026-10-15 정규장 종가</t>
        </is>
      </c>
      <c r="L78" s="4" t="inlineStr">
        <is>
          <t>사용자 첨부 IMG_7104~7108 / 원문 https://m.blog.naver.com/stockvera/224440085158</t>
        </is>
      </c>
      <c r="M78" s="4" t="inlineStr">
        <is>
          <t>https://polling.finance.naver.com/api/realtime/domestic/stock/445090</t>
        </is>
      </c>
      <c r="N78" s="4" t="inlineStr">
        <is>
          <t>https://polling.finance.naver.com/api/realtime/domestic/stock/445090</t>
        </is>
      </c>
      <c r="O78" s="139" t="n">
        <v>0.1396</v>
      </c>
      <c r="P78" s="4" t="inlineStr">
        <is>
          <t>IFRS연결</t>
        </is>
      </c>
      <c r="Q78" s="4" t="inlineStr">
        <is>
          <t>2026-10-14</t>
        </is>
      </c>
      <c r="R78" s="4" t="inlineStr">
        <is>
          <t>https://comp.wisereport.co.kr/company/ajax/c1050001_data.aspx?flag=2&amp;cmp_cd=445090&amp;finGubun=MAIN&amp;frq=0&amp;sDT=20261014&amp;chartType=image</t>
        </is>
      </c>
      <c r="S78" s="13" t="inlineStr">
        <is>
          <t>2027.12(E) ROE 직접 제공값과 대조 일치. 백분율 단위·종목코드 확인.</t>
        </is>
      </c>
      <c r="T78" s="140" t="n">
        <v>60</v>
      </c>
      <c r="U78" s="140" t="n">
        <v>50</v>
      </c>
      <c r="V78" s="4" t="inlineStr">
        <is>
          <t>IFRS연결</t>
        </is>
      </c>
      <c r="W78" s="15" t="inlineStr">
        <is>
          <t>https://comp.wisereport.co.kr/company/ajax/c1050001_data.aspx?flag=2&amp;cmp_cd=445090&amp;finGubun=MAIN&amp;frq=0&amp;sDT=20261014&amp;chartType=image</t>
        </is>
      </c>
      <c r="X78" s="15" t="inlineStr">
        <is>
          <t>27E 원표와 FnGuide 차이 10% 이내 또는 비교 자료 없음</t>
        </is>
      </c>
    </row>
    <row r="79" ht="21.95" customHeight="1">
      <c r="A79" s="4" t="inlineStr">
        <is>
          <t>두산테스나</t>
        </is>
      </c>
      <c r="B79" s="137" t="inlineStr">
        <is>
          <t>131970</t>
        </is>
      </c>
      <c r="C79" s="138" t="n">
        <v>24000</v>
      </c>
      <c r="D79" s="138" t="n">
        <v>907</v>
      </c>
      <c r="E79" s="138" t="n">
        <v>1098</v>
      </c>
      <c r="F79" s="138" t="n">
        <v>26.4</v>
      </c>
      <c r="G79" s="138" t="n">
        <v>21.8</v>
      </c>
      <c r="H79" s="6" t="n"/>
      <c r="I79" s="7" t="n">
        <v>116000</v>
      </c>
      <c r="J79" s="7" t="n">
        <v>19327238</v>
      </c>
      <c r="K79" s="9" t="inlineStr">
        <is>
          <t>2026-10-15 정규장 종가</t>
        </is>
      </c>
      <c r="L79" s="4" t="inlineStr">
        <is>
          <t>사용자 첨부 IMG_7104~7108 / 원문 https://m.blog.naver.com/stockvera/224440085158</t>
        </is>
      </c>
      <c r="M79" s="4" t="inlineStr">
        <is>
          <t>https://polling.finance.naver.com/api/realtime/domestic/stock/131970</t>
        </is>
      </c>
      <c r="N79" s="4" t="inlineStr">
        <is>
          <t>https://polling.finance.naver.com/api/realtime/domestic/stock/131970</t>
        </is>
      </c>
      <c r="O79" s="139" t="n">
        <v>0.1842</v>
      </c>
      <c r="P79" s="4" t="inlineStr">
        <is>
          <t>IFRS별도</t>
        </is>
      </c>
      <c r="Q79" s="4" t="inlineStr">
        <is>
          <t>2026-10-14</t>
        </is>
      </c>
      <c r="R79" s="4" t="inlineStr">
        <is>
          <t>https://comp.wisereport.co.kr/company/ajax/c1050001_data.aspx?flag=2&amp;cmp_cd=131970&amp;finGubun=MAIN&amp;frq=0&amp;sDT=20261014&amp;chartType=image</t>
        </is>
      </c>
      <c r="S79" s="13" t="inlineStr">
        <is>
          <t>2027.12(E) ROE 직접 제공값과 대조 일치. 백분율 단위·종목코드 확인.</t>
        </is>
      </c>
      <c r="T79" s="140" t="n">
        <v>311.25</v>
      </c>
      <c r="U79" s="140" t="n">
        <v>371.5</v>
      </c>
      <c r="V79" s="4" t="inlineStr">
        <is>
          <t>IFRS별도</t>
        </is>
      </c>
      <c r="W79" s="15" t="inlineStr">
        <is>
          <t>https://comp.wisereport.co.kr/company/ajax/c1050001_data.aspx?flag=2&amp;cmp_cd=131970&amp;finGubun=MAIN&amp;frq=0&amp;sDT=20261014&amp;chartType=image</t>
        </is>
      </c>
      <c r="X79" s="15" t="inlineStr">
        <is>
          <t>27E 원표와 FnGuide 차이 10% 이내 또는 비교 자료 없음</t>
        </is>
      </c>
    </row>
    <row r="80" ht="21.95" customHeight="1">
      <c r="A80" s="4" t="inlineStr">
        <is>
          <t>유진테크</t>
        </is>
      </c>
      <c r="B80" s="137" t="inlineStr">
        <is>
          <t>084370</t>
        </is>
      </c>
      <c r="C80" s="138" t="n">
        <v>37000</v>
      </c>
      <c r="D80" s="138" t="n">
        <v>1382</v>
      </c>
      <c r="E80" s="138" t="n">
        <v>1669</v>
      </c>
      <c r="F80" s="138" t="n">
        <v>26.9</v>
      </c>
      <c r="G80" s="138" t="n">
        <v>22.2</v>
      </c>
      <c r="H80" s="6" t="n"/>
      <c r="I80" s="7" t="n">
        <v>121800</v>
      </c>
      <c r="J80" s="7" t="n">
        <v>22916042</v>
      </c>
      <c r="K80" s="9" t="inlineStr">
        <is>
          <t>2026-10-15 정규장 종가</t>
        </is>
      </c>
      <c r="L80" s="4" t="inlineStr">
        <is>
          <t>사용자 첨부 IMG_7104~7108 / 원문 https://m.blog.naver.com/stockvera/224440085158</t>
        </is>
      </c>
      <c r="M80" s="4" t="inlineStr">
        <is>
          <t>https://polling.finance.naver.com/api/realtime/domestic/stock/084370</t>
        </is>
      </c>
      <c r="N80" s="4" t="inlineStr">
        <is>
          <t>https://polling.finance.naver.com/api/realtime/domestic/stock/084370</t>
        </is>
      </c>
      <c r="O80" s="139" t="n">
        <v>0.208</v>
      </c>
      <c r="P80" s="4" t="inlineStr">
        <is>
          <t>IFRS연결</t>
        </is>
      </c>
      <c r="Q80" s="4" t="inlineStr">
        <is>
          <t>2026-10-14</t>
        </is>
      </c>
      <c r="R80" s="4" t="inlineStr">
        <is>
          <t>https://comp.wisereport.co.kr/company/ajax/c1050001_data.aspx?flag=2&amp;cmp_cd=084370&amp;finGubun=MAIN&amp;frq=0&amp;sDT=20261014&amp;chartType=image</t>
        </is>
      </c>
      <c r="S80" s="13" t="inlineStr">
        <is>
          <t>2027.12(E) ROE 직접 제공값과 대조 일치. 백분율 단위·종목코드 확인.</t>
        </is>
      </c>
      <c r="T80" s="140" t="n">
        <v>1422</v>
      </c>
      <c r="U80" s="140" t="n">
        <v>1023</v>
      </c>
      <c r="V80" s="4" t="inlineStr">
        <is>
          <t>IFRS연결</t>
        </is>
      </c>
      <c r="W80" s="15" t="inlineStr">
        <is>
          <t>https://comp.wisereport.co.kr/company/ajax/c1050001_data.aspx?flag=2&amp;cmp_cd=084370&amp;finGubun=MAIN&amp;frq=0&amp;sDT=20261014&amp;chartType=image</t>
        </is>
      </c>
      <c r="X80" s="15" t="inlineStr">
        <is>
          <t>27E 원표와 FnGuide 차이 10% 이내 또는 비교 자료 없음</t>
        </is>
      </c>
    </row>
    <row r="81" ht="21.95" customHeight="1">
      <c r="A81" s="4" t="inlineStr">
        <is>
          <t>리노공업</t>
        </is>
      </c>
      <c r="B81" s="137" t="inlineStr">
        <is>
          <t>058470</t>
        </is>
      </c>
      <c r="C81" s="138" t="n">
        <v>60000</v>
      </c>
      <c r="D81" s="138" t="n">
        <v>2215</v>
      </c>
      <c r="E81" s="138" t="n">
        <v>2599</v>
      </c>
      <c r="F81" s="138" t="n">
        <v>26.9</v>
      </c>
      <c r="G81" s="138" t="n">
        <v>22.9</v>
      </c>
      <c r="H81" s="6" t="n"/>
      <c r="I81" s="7" t="n">
        <v>65700</v>
      </c>
      <c r="J81" s="7" t="n">
        <v>76211850</v>
      </c>
      <c r="K81" s="9" t="inlineStr">
        <is>
          <t>2026-10-15 정규장 종가</t>
        </is>
      </c>
      <c r="L81" s="4" t="inlineStr">
        <is>
          <t>사용자 첨부 IMG_7104~7108 / 원문 https://m.blog.naver.com/stockvera/224440085158</t>
        </is>
      </c>
      <c r="M81" s="4" t="inlineStr">
        <is>
          <t>https://polling.finance.naver.com/api/realtime/domestic/stock/058470</t>
        </is>
      </c>
      <c r="N81" s="4" t="inlineStr">
        <is>
          <t>https://polling.finance.naver.com/api/realtime/domestic/stock/058470</t>
        </is>
      </c>
      <c r="O81" s="139" t="n">
        <v>0.232</v>
      </c>
      <c r="P81" s="4" t="inlineStr">
        <is>
          <t>IFRS별도</t>
        </is>
      </c>
      <c r="Q81" s="4" t="inlineStr">
        <is>
          <t>2026-10-14</t>
        </is>
      </c>
      <c r="R81" s="4" t="inlineStr">
        <is>
          <t>https://comp.wisereport.co.kr/company/ajax/c1050001_data.aspx?flag=2&amp;cmp_cd=058470&amp;finGubun=MAIN&amp;frq=0&amp;sDT=20261014&amp;chartType=image</t>
        </is>
      </c>
      <c r="S81" s="13" t="inlineStr">
        <is>
          <t>2027.12(E) ROE 직접 제공값과 대조 일치. 백분율 단위·종목코드 확인.</t>
        </is>
      </c>
      <c r="T81" s="140" t="n">
        <v>1886.71</v>
      </c>
      <c r="U81" s="140" t="n">
        <v>2160</v>
      </c>
      <c r="V81" s="4" t="inlineStr">
        <is>
          <t>IFRS별도</t>
        </is>
      </c>
      <c r="W81" s="15" t="inlineStr">
        <is>
          <t>https://comp.wisereport.co.kr/company/ajax/c1050001_data.aspx?flag=2&amp;cmp_cd=058470&amp;finGubun=MAIN&amp;frq=0&amp;sDT=20261014&amp;chartType=image</t>
        </is>
      </c>
      <c r="X81" s="15" t="inlineStr">
        <is>
          <t>27E 원표와 FnGuide 차이 10% 이내 또는 비교 자료 없음</t>
        </is>
      </c>
    </row>
    <row r="82" ht="21.95" customHeight="1">
      <c r="A82" s="4" t="inlineStr">
        <is>
          <t>원익IPS</t>
        </is>
      </c>
      <c r="B82" s="137" t="inlineStr">
        <is>
          <t>240810</t>
        </is>
      </c>
      <c r="C82" s="138" t="n">
        <v>64000</v>
      </c>
      <c r="D82" s="138" t="n">
        <v>2376</v>
      </c>
      <c r="E82" s="138" t="n">
        <v>2714</v>
      </c>
      <c r="F82" s="138" t="n">
        <v>27</v>
      </c>
      <c r="G82" s="138" t="n">
        <v>23.7</v>
      </c>
      <c r="H82" s="6" t="n"/>
      <c r="I82" s="7" t="n">
        <v>99200</v>
      </c>
      <c r="J82" s="7" t="n">
        <v>49083901</v>
      </c>
      <c r="K82" s="9" t="inlineStr">
        <is>
          <t>2026-10-15 정규장 종가</t>
        </is>
      </c>
      <c r="L82" s="4" t="inlineStr">
        <is>
          <t>사용자 첨부 IMG_7104~7108 / 원문 https://m.blog.naver.com/stockvera/224440085158</t>
        </is>
      </c>
      <c r="M82" s="4" t="inlineStr">
        <is>
          <t>https://polling.finance.naver.com/api/realtime/domestic/stock/240810</t>
        </is>
      </c>
      <c r="N82" s="4" t="inlineStr">
        <is>
          <t>https://polling.finance.naver.com/api/realtime/domestic/stock/240810</t>
        </is>
      </c>
      <c r="O82" s="139" t="n">
        <v>0.1824</v>
      </c>
      <c r="P82" s="4" t="inlineStr">
        <is>
          <t>IFRS연결</t>
        </is>
      </c>
      <c r="Q82" s="4" t="inlineStr">
        <is>
          <t>2026-10-14</t>
        </is>
      </c>
      <c r="R82" s="4" t="inlineStr">
        <is>
          <t>https://comp.wisereport.co.kr/company/ajax/c1050001_data.aspx?flag=2&amp;cmp_cd=240810&amp;finGubun=MAIN&amp;frq=0&amp;sDT=20261014&amp;chartType=image</t>
        </is>
      </c>
      <c r="S82" s="13" t="inlineStr">
        <is>
          <t>2027.12(E) ROE 직접 제공값과 대조 일치. 백분율 단위·종목코드 확인.</t>
        </is>
      </c>
      <c r="T82" s="140" t="n">
        <v>2206.5</v>
      </c>
      <c r="U82" s="140" t="n">
        <v>1757.86</v>
      </c>
      <c r="V82" s="4" t="inlineStr">
        <is>
          <t>IFRS연결</t>
        </is>
      </c>
      <c r="W82" s="15" t="inlineStr">
        <is>
          <t>https://comp.wisereport.co.kr/company/ajax/c1050001_data.aspx?flag=2&amp;cmp_cd=240810&amp;finGubun=MAIN&amp;frq=0&amp;sDT=20261014&amp;chartType=image</t>
        </is>
      </c>
      <c r="X82" s="15" t="inlineStr">
        <is>
          <t>27E 원표와 FnGuide 차이 10% 이내 또는 비교 자료 없음</t>
        </is>
      </c>
    </row>
    <row r="83" ht="21.95" customHeight="1">
      <c r="A83" s="4" t="inlineStr">
        <is>
          <t>SFA반도체</t>
        </is>
      </c>
      <c r="B83" s="137" t="inlineStr">
        <is>
          <t>036540</t>
        </is>
      </c>
      <c r="C83" s="138" t="n">
        <v>18000</v>
      </c>
      <c r="D83" s="138" t="n">
        <v>633</v>
      </c>
      <c r="E83" s="138" t="n">
        <v>795</v>
      </c>
      <c r="F83" s="138" t="n">
        <v>28.2</v>
      </c>
      <c r="G83" s="138" t="n">
        <v>22.4</v>
      </c>
      <c r="H83" s="6" t="n"/>
      <c r="I83" s="7" t="n">
        <v>8730</v>
      </c>
      <c r="J83" s="7" t="n">
        <v>164460303</v>
      </c>
      <c r="K83" s="9" t="inlineStr">
        <is>
          <t>2026-10-15 정규장 종가</t>
        </is>
      </c>
      <c r="L83" s="4" t="inlineStr">
        <is>
          <t>사용자 첨부 IMG_7104~7108 / 원문 https://m.blog.naver.com/stockvera/224440085158</t>
        </is>
      </c>
      <c r="M83" s="4" t="inlineStr">
        <is>
          <t>https://polling.finance.naver.com/api/realtime/domestic/stock/036540</t>
        </is>
      </c>
      <c r="N83" s="4" t="inlineStr">
        <is>
          <t>https://polling.finance.naver.com/api/realtime/domestic/stock/036540</t>
        </is>
      </c>
      <c r="O83" s="139" t="n">
        <v>0.126</v>
      </c>
      <c r="P83" s="4" t="inlineStr">
        <is>
          <t>IFRS연결</t>
        </is>
      </c>
      <c r="Q83" s="4" t="inlineStr">
        <is>
          <t>2026-10-14</t>
        </is>
      </c>
      <c r="R83" s="4" t="inlineStr">
        <is>
          <t>https://comp.wisereport.co.kr/company/ajax/c1050001_data.aspx?flag=2&amp;cmp_cd=036540&amp;finGubun=MAIN&amp;frq=0&amp;sDT=20261014&amp;chartType=image</t>
        </is>
      </c>
      <c r="S83" s="13" t="inlineStr">
        <is>
          <t>2027.12(E) ROE 직접 제공값과 대조 일치. 백분율 단위·종목코드 확인.</t>
        </is>
      </c>
      <c r="T83" s="140" t="n">
        <v>-6.67</v>
      </c>
      <c r="U83" s="140" t="n">
        <v>-55.8</v>
      </c>
      <c r="V83" s="4" t="inlineStr">
        <is>
          <t>IFRS연결</t>
        </is>
      </c>
      <c r="W83" s="15" t="inlineStr">
        <is>
          <t>https://comp.wisereport.co.kr/company/ajax/c1050001_data.aspx?flag=2&amp;cmp_cd=036540&amp;finGubun=MAIN&amp;frq=0&amp;sDT=20261014&amp;chartType=image</t>
        </is>
      </c>
      <c r="X83" s="15" t="inlineStr">
        <is>
          <t>27E 원표와 FnGuide 차이 10% 이내 또는 비교 자료 없음</t>
        </is>
      </c>
    </row>
    <row r="84" ht="21.95" customHeight="1">
      <c r="A84" s="4" t="inlineStr">
        <is>
          <t>에프에스티</t>
        </is>
      </c>
      <c r="B84" s="137" t="inlineStr">
        <is>
          <t>036810</t>
        </is>
      </c>
      <c r="C84" s="138" t="n">
        <v>7003</v>
      </c>
      <c r="D84" s="138" t="n">
        <v>245</v>
      </c>
      <c r="E84" s="138" t="n">
        <v>427</v>
      </c>
      <c r="F84" s="138" t="n">
        <v>28.6</v>
      </c>
      <c r="G84" s="138" t="n">
        <v>16.4</v>
      </c>
      <c r="H84" s="6" t="n"/>
      <c r="I84" s="7" t="n">
        <v>25300</v>
      </c>
      <c r="J84" s="7" t="n">
        <v>21649789</v>
      </c>
      <c r="K84" s="9" t="inlineStr">
        <is>
          <t>2026-10-15 정규장 종가</t>
        </is>
      </c>
      <c r="L84" s="4" t="inlineStr">
        <is>
          <t>사용자 첨부 IMG_7104~7108 / 원문 https://m.blog.naver.com/stockvera/224440085158</t>
        </is>
      </c>
      <c r="M84" s="4" t="inlineStr">
        <is>
          <t>https://polling.finance.naver.com/api/realtime/domestic/stock/036810</t>
        </is>
      </c>
      <c r="N84" s="4" t="inlineStr">
        <is>
          <t>https://polling.finance.naver.com/api/realtime/domestic/stock/036810</t>
        </is>
      </c>
      <c r="O84" s="139" t="n">
        <v>0.0842</v>
      </c>
      <c r="P84" s="4" t="inlineStr">
        <is>
          <t>IFRS연결</t>
        </is>
      </c>
      <c r="Q84" s="4" t="inlineStr">
        <is>
          <t>2026-10-14</t>
        </is>
      </c>
      <c r="R84" s="4" t="inlineStr">
        <is>
          <t>https://comp.wisereport.co.kr/company/ajax/c1050001_data.aspx?flag=2&amp;cmp_cd=036810&amp;finGubun=MAIN&amp;frq=0&amp;sDT=20261014&amp;chartType=image</t>
        </is>
      </c>
      <c r="S84" s="13" t="inlineStr">
        <is>
          <t>2027.12(E) ROE 직접 제공값과 대조 일치. 백분율 단위·종목코드 확인.</t>
        </is>
      </c>
      <c r="T84" s="140" t="n">
        <v>133</v>
      </c>
      <c r="U84" s="140" t="n">
        <v>277</v>
      </c>
      <c r="V84" s="4" t="inlineStr">
        <is>
          <t>IFRS연결</t>
        </is>
      </c>
      <c r="W84" s="15" t="inlineStr">
        <is>
          <t>https://comp.wisereport.co.kr/company/ajax/c1050001_data.aspx?flag=2&amp;cmp_cd=036810&amp;finGubun=MAIN&amp;frq=0&amp;sDT=20261014&amp;chartType=image</t>
        </is>
      </c>
      <c r="X84" s="15" t="inlineStr">
        <is>
          <t>27E 원표와 FnGuide 차이 10% 이내 또는 비교 자료 없음</t>
        </is>
      </c>
    </row>
    <row r="85" ht="21.95" customHeight="1">
      <c r="A85" s="4" t="inlineStr">
        <is>
          <t>HPSP</t>
        </is>
      </c>
      <c r="B85" s="137" t="inlineStr">
        <is>
          <t>403870</t>
        </is>
      </c>
      <c r="C85" s="138" t="n">
        <v>50000</v>
      </c>
      <c r="D85" s="138" t="n">
        <v>1737</v>
      </c>
      <c r="E85" s="138" t="n">
        <v>2150</v>
      </c>
      <c r="F85" s="138" t="n">
        <v>28.9</v>
      </c>
      <c r="G85" s="138" t="n">
        <v>23.4</v>
      </c>
      <c r="H85" s="6" t="n"/>
      <c r="I85" s="7" t="n">
        <v>47700</v>
      </c>
      <c r="J85" s="7" t="n">
        <v>82300000</v>
      </c>
      <c r="K85" s="9" t="inlineStr">
        <is>
          <t>2026-10-15 정규장 종가</t>
        </is>
      </c>
      <c r="L85" s="4" t="inlineStr">
        <is>
          <t>사용자 첨부 IMG_7104~7108 / 원문 https://m.blog.naver.com/stockvera/224440085158</t>
        </is>
      </c>
      <c r="M85" s="4" t="inlineStr">
        <is>
          <t>https://polling.finance.naver.com/api/realtime/domestic/stock/403870</t>
        </is>
      </c>
      <c r="N85" s="4" t="inlineStr">
        <is>
          <t>https://polling.finance.naver.com/api/realtime/domestic/stock/403870</t>
        </is>
      </c>
      <c r="O85" s="139" t="n">
        <v>0.3769</v>
      </c>
      <c r="P85" s="4" t="inlineStr">
        <is>
          <t>IFRS별도</t>
        </is>
      </c>
      <c r="Q85" s="4" t="inlineStr">
        <is>
          <t>2026-10-14</t>
        </is>
      </c>
      <c r="R85" s="4" t="inlineStr">
        <is>
          <t>https://comp.wisereport.co.kr/company/ajax/c1050001_data.aspx?flag=2&amp;cmp_cd=403870&amp;finGubun=MAIN&amp;frq=0&amp;sDT=20261014&amp;chartType=image</t>
        </is>
      </c>
      <c r="S85" s="13" t="inlineStr">
        <is>
          <t>2027.12(E) ROE 직접 제공값과 대조 일치. 백분율 단위·종목코드 확인.</t>
        </is>
      </c>
      <c r="T85" s="140" t="n">
        <v>1201.67</v>
      </c>
      <c r="U85" s="140" t="n">
        <v>1391</v>
      </c>
      <c r="V85" s="4" t="inlineStr">
        <is>
          <t>IFRS별도</t>
        </is>
      </c>
      <c r="W85" s="15" t="inlineStr">
        <is>
          <t>https://comp.wisereport.co.kr/company/ajax/c1050001_data.aspx?flag=2&amp;cmp_cd=403870&amp;finGubun=MAIN&amp;frq=0&amp;sDT=20261014&amp;chartType=image</t>
        </is>
      </c>
      <c r="X85" s="15" t="inlineStr">
        <is>
          <t>27E 원표와 FnGuide 차이 10% 이내 또는 비교 자료 없음</t>
        </is>
      </c>
    </row>
    <row r="86" ht="21.95" customHeight="1">
      <c r="A86" s="4" t="inlineStr">
        <is>
          <t>와이씨</t>
        </is>
      </c>
      <c r="B86" s="137" t="inlineStr">
        <is>
          <t>232140</t>
        </is>
      </c>
      <c r="C86" s="138" t="n">
        <v>14000</v>
      </c>
      <c r="D86" s="138" t="n">
        <v>449</v>
      </c>
      <c r="E86" s="138" t="n">
        <v>724</v>
      </c>
      <c r="F86" s="138" t="n">
        <v>31</v>
      </c>
      <c r="G86" s="138" t="n">
        <v>19.2</v>
      </c>
      <c r="H86" s="6" t="inlineStr">
        <is>
          <t>†</t>
        </is>
      </c>
      <c r="I86" s="7" t="n">
        <v>13600</v>
      </c>
      <c r="J86" s="7" t="n">
        <v>82045350</v>
      </c>
      <c r="K86" s="9" t="inlineStr">
        <is>
          <t>2026-10-15 정규장 종가</t>
        </is>
      </c>
      <c r="L86" s="4" t="inlineStr">
        <is>
          <t>사용자 첨부 IMG_7104~7108 / 원문 https://m.blog.naver.com/stockvera/224440085158</t>
        </is>
      </c>
      <c r="M86" s="4" t="inlineStr">
        <is>
          <t>https://polling.finance.naver.com/api/realtime/domestic/stock/232140</t>
        </is>
      </c>
      <c r="N86" s="4" t="inlineStr">
        <is>
          <t>https://polling.finance.naver.com/api/realtime/domestic/stock/232140</t>
        </is>
      </c>
      <c r="O86" s="139" t="n">
        <v>0.1062</v>
      </c>
      <c r="P86" s="4" t="inlineStr">
        <is>
          <t>IFRS연결</t>
        </is>
      </c>
      <c r="Q86" s="4" t="inlineStr">
        <is>
          <t>2026-10-14</t>
        </is>
      </c>
      <c r="R86" s="4" t="inlineStr">
        <is>
          <t>https://comp.wisereport.co.kr/company/ajax/c1050001_data.aspx?flag=2&amp;cmp_cd=232140&amp;finGubun=MAIN&amp;frq=0&amp;sDT=20261014&amp;chartType=image</t>
        </is>
      </c>
      <c r="S86" s="13" t="inlineStr">
        <is>
          <t>2027.12(E) ROE 직접 제공값과 대조 일치. 백분율 단위·종목코드 확인.</t>
        </is>
      </c>
      <c r="T86" s="140" t="n">
        <v>342.8</v>
      </c>
      <c r="U86" s="140" t="n">
        <v>546.33</v>
      </c>
      <c r="V86" s="4" t="inlineStr">
        <is>
          <t>IFRS연결</t>
        </is>
      </c>
      <c r="W86" s="15" t="inlineStr">
        <is>
          <t>https://comp.wisereport.co.kr/company/ajax/c1050001_data.aspx?flag=2&amp;cmp_cd=232140&amp;finGubun=MAIN&amp;frq=0&amp;sDT=20261014&amp;chartType=image</t>
        </is>
      </c>
      <c r="X86" s="15" t="inlineStr">
        <is>
          <t>27E 원표와 FnGuide 차이 10% 이내 또는 비교 자료 없음</t>
        </is>
      </c>
    </row>
    <row r="87" ht="21.95" customHeight="1">
      <c r="A87" s="4" t="inlineStr">
        <is>
          <t>ISC</t>
        </is>
      </c>
      <c r="B87" s="137" t="inlineStr">
        <is>
          <t>095340</t>
        </is>
      </c>
      <c r="C87" s="138" t="n">
        <v>41000</v>
      </c>
      <c r="D87" s="138" t="n">
        <v>1208</v>
      </c>
      <c r="E87" s="138" t="n">
        <v>1430</v>
      </c>
      <c r="F87" s="138" t="n">
        <v>33.6</v>
      </c>
      <c r="G87" s="138" t="n">
        <v>28.4</v>
      </c>
      <c r="H87" s="6" t="n"/>
      <c r="I87" s="7" t="n">
        <v>141800</v>
      </c>
      <c r="J87" s="7" t="n">
        <v>21197058</v>
      </c>
      <c r="K87" s="9" t="inlineStr">
        <is>
          <t>2026-10-15 정규장 종가</t>
        </is>
      </c>
      <c r="L87" s="4" t="inlineStr">
        <is>
          <t>사용자 첨부 IMG_7104~7108 / 원문 https://m.blog.naver.com/stockvera/224440085158</t>
        </is>
      </c>
      <c r="M87" s="4" t="inlineStr">
        <is>
          <t>https://polling.finance.naver.com/api/realtime/domestic/stock/095340</t>
        </is>
      </c>
      <c r="N87" s="4" t="inlineStr">
        <is>
          <t>https://polling.finance.naver.com/api/realtime/domestic/stock/095340</t>
        </is>
      </c>
      <c r="O87" s="139" t="n">
        <v>0.1774</v>
      </c>
      <c r="P87" s="4" t="inlineStr">
        <is>
          <t>IFRS연결</t>
        </is>
      </c>
      <c r="Q87" s="4" t="inlineStr">
        <is>
          <t>2026-10-14</t>
        </is>
      </c>
      <c r="R87" s="4" t="inlineStr">
        <is>
          <t>https://comp.wisereport.co.kr/company/ajax/c1050001_data.aspx?flag=2&amp;cmp_cd=095340&amp;finGubun=MAIN&amp;frq=0&amp;sDT=20261014&amp;chartType=image</t>
        </is>
      </c>
      <c r="S87" s="13" t="inlineStr">
        <is>
          <t>2027.12(E) ROE 직접 제공값과 대조 일치. 백분율 단위·종목코드 확인.</t>
        </is>
      </c>
      <c r="T87" s="140" t="n">
        <v>897.5</v>
      </c>
      <c r="U87" s="140" t="n">
        <v>1033.5</v>
      </c>
      <c r="V87" s="4" t="inlineStr">
        <is>
          <t>IFRS연결</t>
        </is>
      </c>
      <c r="W87" s="15" t="inlineStr">
        <is>
          <t>https://comp.wisereport.co.kr/company/ajax/c1050001_data.aspx?flag=2&amp;cmp_cd=095340&amp;finGubun=MAIN&amp;frq=0&amp;sDT=20261014&amp;chartType=image</t>
        </is>
      </c>
      <c r="X87" s="15" t="inlineStr">
        <is>
          <t>27E 원표와 FnGuide 차이 10% 이내 또는 비교 자료 없음</t>
        </is>
      </c>
    </row>
    <row r="88" ht="21.95" customHeight="1">
      <c r="A88" s="4" t="inlineStr">
        <is>
          <t>파크시스템스</t>
        </is>
      </c>
      <c r="B88" s="137" t="inlineStr">
        <is>
          <t>140860</t>
        </is>
      </c>
      <c r="C88" s="138" t="n">
        <v>21000</v>
      </c>
      <c r="D88" s="138" t="n">
        <v>618</v>
      </c>
      <c r="E88" s="138" t="n">
        <v>695</v>
      </c>
      <c r="F88" s="138" t="n">
        <v>34</v>
      </c>
      <c r="G88" s="138" t="n">
        <v>30.2</v>
      </c>
      <c r="H88" s="6" t="n"/>
      <c r="I88" s="7" t="n">
        <v>250500</v>
      </c>
      <c r="J88" s="7" t="n">
        <v>7002469</v>
      </c>
      <c r="K88" s="9" t="inlineStr">
        <is>
          <t>2026-10-15 정규장 종가</t>
        </is>
      </c>
      <c r="L88" s="4" t="inlineStr">
        <is>
          <t>사용자 첨부 IMG_7104~7108 / 원문 https://m.blog.naver.com/stockvera/224440085158</t>
        </is>
      </c>
      <c r="M88" s="4" t="inlineStr">
        <is>
          <t>https://polling.finance.naver.com/api/realtime/domestic/stock/140860</t>
        </is>
      </c>
      <c r="N88" s="4" t="inlineStr">
        <is>
          <t>https://polling.finance.naver.com/api/realtime/domestic/stock/140860</t>
        </is>
      </c>
      <c r="O88" s="139" t="n">
        <v>0.1716</v>
      </c>
      <c r="P88" s="4" t="inlineStr">
        <is>
          <t>IFRS연결</t>
        </is>
      </c>
      <c r="Q88" s="4" t="inlineStr">
        <is>
          <t>2026-10-14</t>
        </is>
      </c>
      <c r="R88" s="4" t="inlineStr">
        <is>
          <t>https://comp.wisereport.co.kr/company/ajax/c1050001_data.aspx?flag=2&amp;cmp_cd=140860&amp;finGubun=MAIN&amp;frq=0&amp;sDT=20261014&amp;chartType=image</t>
        </is>
      </c>
      <c r="S88" s="13" t="inlineStr">
        <is>
          <t>2027.12(E) ROE 직접 제공값과 대조 일치. 백분율 단위·종목코드 확인.</t>
        </is>
      </c>
      <c r="T88" s="140" t="n">
        <v>468.62</v>
      </c>
      <c r="U88" s="140" t="n">
        <v>502.38</v>
      </c>
      <c r="V88" s="4" t="inlineStr">
        <is>
          <t>IFRS연결</t>
        </is>
      </c>
      <c r="W88" s="15" t="inlineStr">
        <is>
          <t>https://comp.wisereport.co.kr/company/ajax/c1050001_data.aspx?flag=2&amp;cmp_cd=140860&amp;finGubun=MAIN&amp;frq=0&amp;sDT=20261014&amp;chartType=image</t>
        </is>
      </c>
      <c r="X88" s="15" t="inlineStr">
        <is>
          <t>27E 원표와 FnGuide 차이 10% 이내 또는 비교 자료 없음</t>
        </is>
      </c>
    </row>
    <row r="89" ht="21.95" customHeight="1">
      <c r="A89" s="4" t="inlineStr">
        <is>
          <t>이오테크닉스</t>
        </is>
      </c>
      <c r="B89" s="137" t="inlineStr">
        <is>
          <t>039030</t>
        </is>
      </c>
      <c r="C89" s="138" t="n">
        <v>63000</v>
      </c>
      <c r="D89" s="138" t="n">
        <v>1754</v>
      </c>
      <c r="E89" s="138" t="n">
        <v>2144</v>
      </c>
      <c r="F89" s="138" t="n">
        <v>35.9</v>
      </c>
      <c r="G89" s="138" t="n">
        <v>29.4</v>
      </c>
      <c r="H89" s="6" t="n"/>
      <c r="I89" s="7" t="n">
        <v>414500</v>
      </c>
      <c r="J89" s="7" t="n">
        <v>12319550</v>
      </c>
      <c r="K89" s="9" t="inlineStr">
        <is>
          <t>2026-10-15 정규장 종가</t>
        </is>
      </c>
      <c r="L89" s="4" t="inlineStr">
        <is>
          <t>사용자 첨부 IMG_7104~7108 / 원문 https://m.blog.naver.com/stockvera/224440085158</t>
        </is>
      </c>
      <c r="M89" s="4" t="inlineStr">
        <is>
          <t>https://polling.finance.naver.com/api/realtime/domestic/stock/039030</t>
        </is>
      </c>
      <c r="N89" s="4" t="inlineStr">
        <is>
          <t>https://polling.finance.naver.com/api/realtime/domestic/stock/039030</t>
        </is>
      </c>
      <c r="O89" s="139" t="n">
        <v>0.2039</v>
      </c>
      <c r="P89" s="4" t="inlineStr">
        <is>
          <t>IFRS연결</t>
        </is>
      </c>
      <c r="Q89" s="4" t="inlineStr">
        <is>
          <t>2026-10-14</t>
        </is>
      </c>
      <c r="R89" s="4" t="inlineStr">
        <is>
          <t>https://comp.wisereport.co.kr/company/ajax/c1050001_data.aspx?flag=2&amp;cmp_cd=039030&amp;finGubun=MAIN&amp;frq=0&amp;sDT=20261014&amp;chartType=image</t>
        </is>
      </c>
      <c r="S89" s="13" t="inlineStr">
        <is>
          <t>2027.12(E) ROE 직접 제공값과 대조 일치. 백분율 단위·종목코드 확인.</t>
        </is>
      </c>
      <c r="T89" s="140" t="n">
        <v>1152</v>
      </c>
      <c r="U89" s="140" t="n">
        <v>1332</v>
      </c>
      <c r="V89" s="4" t="inlineStr">
        <is>
          <t>IFRS연결</t>
        </is>
      </c>
      <c r="W89" s="15" t="inlineStr">
        <is>
          <t>https://comp.wisereport.co.kr/company/ajax/c1050001_data.aspx?flag=2&amp;cmp_cd=039030&amp;finGubun=MAIN&amp;frq=0&amp;sDT=20261014&amp;chartType=image</t>
        </is>
      </c>
      <c r="X89" s="15" t="inlineStr">
        <is>
          <t>27E 원표와 FnGuide 차이 10% 이내 또는 비교 자료 없음</t>
        </is>
      </c>
    </row>
    <row r="90" ht="21.95" customHeight="1">
      <c r="A90" s="4" t="inlineStr">
        <is>
          <t>고영</t>
        </is>
      </c>
      <c r="B90" s="137" t="inlineStr">
        <is>
          <t>098460</t>
        </is>
      </c>
      <c r="C90" s="138" t="n">
        <v>25000</v>
      </c>
      <c r="D90" s="138" t="n">
        <v>672</v>
      </c>
      <c r="E90" s="138" t="n">
        <v>736</v>
      </c>
      <c r="F90" s="138" t="n">
        <v>37.2</v>
      </c>
      <c r="G90" s="138" t="n">
        <v>34</v>
      </c>
      <c r="H90" s="6" t="n"/>
      <c r="I90" s="7" t="n">
        <v>30250</v>
      </c>
      <c r="J90" s="7" t="n">
        <v>68204213</v>
      </c>
      <c r="K90" s="9" t="inlineStr">
        <is>
          <t>2026-10-15 정규장 종가</t>
        </is>
      </c>
      <c r="L90" s="4" t="inlineStr">
        <is>
          <t>사용자 첨부 IMG_7104~7108 / 원문 https://m.blog.naver.com/stockvera/224440085158</t>
        </is>
      </c>
      <c r="M90" s="4" t="inlineStr">
        <is>
          <t>https://polling.finance.naver.com/api/realtime/domestic/stock/098460</t>
        </is>
      </c>
      <c r="N90" s="4" t="inlineStr">
        <is>
          <t>https://polling.finance.naver.com/api/realtime/domestic/stock/098460</t>
        </is>
      </c>
      <c r="O90" s="139" t="n">
        <v>0.1637</v>
      </c>
      <c r="P90" s="4" t="inlineStr">
        <is>
          <t>IFRS연결</t>
        </is>
      </c>
      <c r="Q90" s="4" t="inlineStr">
        <is>
          <t>2026-10-14</t>
        </is>
      </c>
      <c r="R90" s="4" t="inlineStr">
        <is>
          <t>https://comp.wisereport.co.kr/company/ajax/c1050001_data.aspx?flag=2&amp;cmp_cd=098460&amp;finGubun=MAIN&amp;frq=0&amp;sDT=20261014&amp;chartType=image</t>
        </is>
      </c>
      <c r="S90" s="13" t="inlineStr">
        <is>
          <t>2027.12(E) ROE 직접 제공값과 대조 일치. 백분율 단위·종목코드 확인.</t>
        </is>
      </c>
      <c r="T90" s="140" t="n">
        <v>616.5700000000001</v>
      </c>
      <c r="U90" s="140" t="n">
        <v>576.29</v>
      </c>
      <c r="V90" s="4" t="inlineStr">
        <is>
          <t>IFRS연결</t>
        </is>
      </c>
      <c r="W90" s="15" t="inlineStr">
        <is>
          <t>https://comp.wisereport.co.kr/company/ajax/c1050001_data.aspx?flag=2&amp;cmp_cd=098460&amp;finGubun=MAIN&amp;frq=0&amp;sDT=20261014&amp;chartType=image</t>
        </is>
      </c>
      <c r="X90" s="15" t="inlineStr">
        <is>
          <t>27E 원표와 FnGuide 차이 10% 이내 또는 비교 자료 없음</t>
        </is>
      </c>
    </row>
    <row r="91" ht="95.09999999999999" customHeight="1">
      <c r="A91" s="4" t="inlineStr">
        <is>
          <t>한미반도체</t>
        </is>
      </c>
      <c r="B91" s="137" t="inlineStr">
        <is>
          <t>042700</t>
        </is>
      </c>
      <c r="C91" s="138" t="n">
        <v>237000</v>
      </c>
      <c r="D91" s="138" t="n">
        <v>5124</v>
      </c>
      <c r="E91" s="138" t="n">
        <v>5617</v>
      </c>
      <c r="F91" s="138" t="n">
        <v>46.2</v>
      </c>
      <c r="G91" s="138" t="n">
        <v>42.2</v>
      </c>
      <c r="H91" s="6" t="n"/>
      <c r="I91" s="7" t="n">
        <v>186700</v>
      </c>
      <c r="J91" s="7" t="n">
        <v>95312200</v>
      </c>
      <c r="K91" s="9" t="inlineStr">
        <is>
          <t>2026-10-15 정규장 종가</t>
        </is>
      </c>
      <c r="L91" s="4" t="inlineStr">
        <is>
          <t>사용자 첨부 IMG_7104~7108 / 원문 https://m.blog.naver.com/stockvera/224440085158</t>
        </is>
      </c>
      <c r="M91" s="4" t="inlineStr">
        <is>
          <t>https://polling.finance.naver.com/api/realtime/domestic/stock/042700</t>
        </is>
      </c>
      <c r="N91" s="4" t="inlineStr">
        <is>
          <t>https://polling.finance.naver.com/api/realtime/domestic/stock/042700</t>
        </is>
      </c>
      <c r="O91" s="139" t="inlineStr">
        <is>
          <t>미확인</t>
        </is>
      </c>
      <c r="P91" s="4" t="inlineStr">
        <is>
          <t>IFRS연결</t>
        </is>
      </c>
      <c r="Q91" s="4" t="inlineStr">
        <is>
          <t>2026-10-14</t>
        </is>
      </c>
      <c r="R91" s="4" t="inlineStr">
        <is>
          <t>https://comp.wisereport.co.kr/company/ajax/c1050001_data.aspx?flag=2&amp;cmp_cd=042700&amp;finGubun=MAIN&amp;frq=0&amp;sDT=20261014&amp;chartType=image</t>
        </is>
      </c>
      <c r="S91" s="13" t="inlineStr">
        <is>
          <t>출처 불일치: 검색 색인에 2027E ROE 44.26%가 있으나 현재 기업현황 및 10/14 연결·별도 컨센서스 응답은 공란. 적용 기준일 미확인으로 반영 보류. 색인 출처: https://comp.wisereport.co.kr/bsfn/company/c1010001.aspx?cmp_cd=042700</t>
        </is>
      </c>
      <c r="T91" s="140" t="n"/>
      <c r="U91" s="140" t="n"/>
      <c r="V91" s="4" t="inlineStr">
        <is>
          <t>IFRS연결</t>
        </is>
      </c>
      <c r="W91" s="15" t="inlineStr">
        <is>
          <t>https://comp.wisereport.co.kr/company/ajax/c1050001_data.aspx?flag=2&amp;cmp_cd=042700&amp;finGubun=MAIN&amp;frq=0&amp;sDT=20261014&amp;chartType=image</t>
        </is>
      </c>
      <c r="X91" s="15" t="inlineStr">
        <is>
          <t>FnGuide 2027E 일부 또는 전체 미확인</t>
        </is>
      </c>
    </row>
    <row r="92" ht="21.95" customHeight="1">
      <c r="A92" s="4" t="inlineStr">
        <is>
          <t>주성엔지니어링</t>
        </is>
      </c>
      <c r="B92" s="137" t="inlineStr">
        <is>
          <t>036930</t>
        </is>
      </c>
      <c r="C92" s="138" t="n">
        <v>118000</v>
      </c>
      <c r="D92" s="138" t="n">
        <v>1172</v>
      </c>
      <c r="E92" s="138" t="n">
        <v>1401</v>
      </c>
      <c r="F92" s="138" t="n">
        <v>100.3</v>
      </c>
      <c r="G92" s="138" t="n">
        <v>83.90000000000001</v>
      </c>
      <c r="H92" s="6" t="n"/>
      <c r="I92" s="7" t="n">
        <v>197100</v>
      </c>
      <c r="J92" s="7" t="n">
        <v>46481121</v>
      </c>
      <c r="K92" s="9" t="inlineStr">
        <is>
          <t>2026-10-15 정규장 종가</t>
        </is>
      </c>
      <c r="L92" s="4" t="inlineStr">
        <is>
          <t>사용자 첨부 IMG_7104~7108 / 원문 https://m.blog.naver.com/stockvera/224440085158</t>
        </is>
      </c>
      <c r="M92" s="4" t="inlineStr">
        <is>
          <t>https://polling.finance.naver.com/api/realtime/domestic/stock/036930</t>
        </is>
      </c>
      <c r="N92" s="4" t="inlineStr">
        <is>
          <t>https://polling.finance.naver.com/api/realtime/domestic/stock/036930</t>
        </is>
      </c>
      <c r="O92" s="139" t="n">
        <v>0.159</v>
      </c>
      <c r="P92" s="4" t="inlineStr">
        <is>
          <t>IFRS연결</t>
        </is>
      </c>
      <c r="Q92" s="4" t="inlineStr">
        <is>
          <t>2026-10-14</t>
        </is>
      </c>
      <c r="R92" s="4" t="inlineStr">
        <is>
          <t>https://comp.wisereport.co.kr/company/ajax/c1050001_data.aspx?flag=2&amp;cmp_cd=036930&amp;finGubun=MAIN&amp;frq=0&amp;sDT=20261014&amp;chartType=image</t>
        </is>
      </c>
      <c r="S92" s="13" t="inlineStr">
        <is>
          <t>2027.12(E) ROE 직접 제공값과 대조 일치. 백분율 단위·종목코드 확인.</t>
        </is>
      </c>
      <c r="T92" s="140" t="n">
        <v>418</v>
      </c>
      <c r="U92" s="140" t="n">
        <v>408</v>
      </c>
      <c r="V92" s="4" t="inlineStr">
        <is>
          <t>IFRS연결</t>
        </is>
      </c>
      <c r="W92" s="15" t="inlineStr">
        <is>
          <t>https://comp.wisereport.co.kr/company/ajax/c1050001_data.aspx?flag=2&amp;cmp_cd=036930&amp;finGubun=MAIN&amp;frq=0&amp;sDT=20261014&amp;chartType=image</t>
        </is>
      </c>
      <c r="X92" s="15" t="inlineStr">
        <is>
          <t>27E 원표와 FnGuide 차이 10% 이내 또는 비교 자료 없음</t>
        </is>
      </c>
    </row>
    <row r="93" ht="60" customHeight="1">
      <c r="A93" s="4" t="inlineStr">
        <is>
          <t>마이크로컨텍솔</t>
        </is>
      </c>
      <c r="B93" s="137" t="inlineStr">
        <is>
          <t>098120</t>
        </is>
      </c>
      <c r="C93" s="138" t="n"/>
      <c r="D93" s="138" t="n"/>
      <c r="E93" s="138" t="n"/>
      <c r="F93" s="138" t="n"/>
      <c r="G93" s="138" t="n"/>
      <c r="H93" s="6" t="n"/>
      <c r="I93" s="7" t="n">
        <v>45400</v>
      </c>
      <c r="J93" s="7" t="n">
        <v>8312766</v>
      </c>
      <c r="K93" s="9" t="inlineStr">
        <is>
          <t>2026-10-15 정규장 종가</t>
        </is>
      </c>
      <c r="L93" s="4" t="inlineStr">
        <is>
          <t>https://comp.wisereport.co.kr/company/c1050001.aspx?cmp_cd=098120</t>
        </is>
      </c>
      <c r="M93" s="4" t="inlineStr">
        <is>
          <t>https://polling.finance.naver.com/api/realtime/domestic/stock/098120</t>
        </is>
      </c>
      <c r="N93" s="4" t="inlineStr">
        <is>
          <t>https://polling.finance.naver.com/api/realtime/domestic/stock/098120</t>
        </is>
      </c>
      <c r="O93" s="139" t="inlineStr">
        <is>
          <t>미확인</t>
        </is>
      </c>
      <c r="P93" s="4" t="inlineStr">
        <is>
          <t>IFRS연결</t>
        </is>
      </c>
      <c r="Q93" s="4" t="inlineStr">
        <is>
          <t>2026-10-14</t>
        </is>
      </c>
      <c r="R93" s="4" t="inlineStr">
        <is>
          <t>https://comp.wisereport.co.kr/company/ajax/c1050001_data.aspx?flag=2&amp;cmp_cd=098120&amp;finGubun=MAIN&amp;frq=0&amp;sDT=20261014&amp;chartType=image</t>
        </is>
      </c>
      <c r="S93" s="13" t="inlineStr">
        <is>
          <t>기존 조회자료에서 2027년 이익·ROE 추정치 모두 미확인. 자료 부재를 0%로 처리하지 않음.</t>
        </is>
      </c>
      <c r="T93" s="140" t="n"/>
      <c r="U93" s="140" t="n"/>
      <c r="V93" s="4" t="inlineStr">
        <is>
          <t>IFRS연결</t>
        </is>
      </c>
      <c r="W93" s="15" t="inlineStr">
        <is>
          <t>https://comp.wisereport.co.kr/company/ajax/c1050001_data.aspx?flag=2&amp;cmp_cd=098120&amp;finGubun=MAIN&amp;frq=0&amp;sDT=20261014&amp;chartType=image</t>
        </is>
      </c>
      <c r="X93" s="15" t="inlineStr">
        <is>
          <t>FnGuide 2027E 일부 또는 전체 미확인</t>
        </is>
      </c>
    </row>
    <row r="94" ht="21.95" customHeight="1">
      <c r="A94" s="4" t="inlineStr">
        <is>
          <t>네오티스</t>
        </is>
      </c>
      <c r="B94" s="137" t="inlineStr">
        <is>
          <t>085910</t>
        </is>
      </c>
      <c r="C94" s="138" t="n"/>
      <c r="D94" s="138" t="n">
        <v>210</v>
      </c>
      <c r="E94" s="138" t="n">
        <v>332.5</v>
      </c>
      <c r="F94" s="138" t="n"/>
      <c r="G94" s="138" t="n"/>
      <c r="H94" s="6" t="n"/>
      <c r="I94" s="7" t="n">
        <v>17950</v>
      </c>
      <c r="J94" s="7" t="n">
        <v>13794818</v>
      </c>
      <c r="K94" s="9" t="inlineStr">
        <is>
          <t>2026-10-15 정규장 종가</t>
        </is>
      </c>
      <c r="L94" s="4" t="inlineStr">
        <is>
          <t>https://comp.wisereport.co.kr/company/c1050001.aspx?cmp_cd=085910</t>
        </is>
      </c>
      <c r="M94" s="4" t="inlineStr">
        <is>
          <t>https://polling.finance.naver.com/api/realtime/domestic/stock/085910</t>
        </is>
      </c>
      <c r="N94" s="4" t="inlineStr">
        <is>
          <t>https://polling.finance.naver.com/api/realtime/domestic/stock/085910</t>
        </is>
      </c>
      <c r="O94" s="139" t="n">
        <v>0.246</v>
      </c>
      <c r="P94" s="4" t="inlineStr">
        <is>
          <t>IFRS연결</t>
        </is>
      </c>
      <c r="Q94" s="4" t="inlineStr">
        <is>
          <t>2026-10-14</t>
        </is>
      </c>
      <c r="R94" s="4" t="inlineStr">
        <is>
          <t>https://comp.wisereport.co.kr/company/ajax/c1050001_data.aspx?flag=2&amp;cmp_cd=085910&amp;finGubun=MAIN&amp;frq=0&amp;sDT=20261014&amp;chartType=image</t>
        </is>
      </c>
      <c r="S94" s="13" t="inlineStr">
        <is>
          <t>2027.12(E) ROE 직접 제공값과 대조 일치. 백분율 단위·종목코드 확인.</t>
        </is>
      </c>
      <c r="T94" s="140" t="n">
        <v>118.67</v>
      </c>
      <c r="U94" s="140" t="n">
        <v>175.22</v>
      </c>
      <c r="V94" s="4" t="inlineStr">
        <is>
          <t>IFRS연결</t>
        </is>
      </c>
      <c r="W94" s="15" t="inlineStr">
        <is>
          <t>https://comp.wisereport.co.kr/company/ajax/c1050001_data.aspx?flag=2&amp;cmp_cd=085910&amp;finGubun=MAIN&amp;frq=0&amp;sDT=20261014&amp;chartType=image</t>
        </is>
      </c>
      <c r="X94" s="15" t="inlineStr">
        <is>
          <t>27E 원표와 FnGuide 차이 10% 이내 또는 비교 자료 없음</t>
        </is>
      </c>
    </row>
    <row r="95" ht="21.95" customHeight="1">
      <c r="A95" s="4" t="inlineStr">
        <is>
          <t>성호전자</t>
        </is>
      </c>
      <c r="B95" s="137" t="inlineStr">
        <is>
          <t>043260</t>
        </is>
      </c>
      <c r="C95" s="138" t="n"/>
      <c r="D95" s="138" t="n">
        <v>797</v>
      </c>
      <c r="E95" s="138" t="n">
        <v>1081</v>
      </c>
      <c r="F95" s="138" t="n"/>
      <c r="G95" s="138" t="n"/>
      <c r="H95" s="6" t="n"/>
      <c r="I95" s="7" t="n">
        <v>25300</v>
      </c>
      <c r="J95" s="7" t="n">
        <v>75451848</v>
      </c>
      <c r="K95" s="9" t="inlineStr">
        <is>
          <t>2026-10-15 정규장 종가</t>
        </is>
      </c>
      <c r="L95" s="4" t="inlineStr">
        <is>
          <t>https://comp.wisereport.co.kr/company/c1050001.aspx?cmp_cd=043260</t>
        </is>
      </c>
      <c r="M95" s="4" t="inlineStr">
        <is>
          <t>https://polling.finance.naver.com/api/realtime/domestic/stock/043260</t>
        </is>
      </c>
      <c r="N95" s="4" t="inlineStr">
        <is>
          <t>https://polling.finance.naver.com/api/realtime/domestic/stock/043260</t>
        </is>
      </c>
      <c r="O95" s="139" t="n">
        <v>0.0946</v>
      </c>
      <c r="P95" s="4" t="inlineStr">
        <is>
          <t>IFRS연결</t>
        </is>
      </c>
      <c r="Q95" s="4" t="inlineStr">
        <is>
          <t>2026-10-14</t>
        </is>
      </c>
      <c r="R95" s="4" t="inlineStr">
        <is>
          <t>https://comp.wisereport.co.kr/company/ajax/c1050001_data.aspx?flag=2&amp;cmp_cd=043260&amp;finGubun=MAIN&amp;frq=0&amp;sDT=20261014&amp;chartType=image</t>
        </is>
      </c>
      <c r="S95" s="13" t="inlineStr">
        <is>
          <t>2027.12(E) ROE 직접 제공값과 대조 일치. 백분율 단위·종목코드 확인.</t>
        </is>
      </c>
      <c r="T95" s="140" t="n">
        <v>2246</v>
      </c>
      <c r="U95" s="140" t="n">
        <v>410</v>
      </c>
      <c r="V95" s="4" t="inlineStr">
        <is>
          <t>IFRS연결</t>
        </is>
      </c>
      <c r="W95" s="15" t="inlineStr">
        <is>
          <t>https://comp.wisereport.co.kr/company/ajax/c1050001_data.aspx?flag=2&amp;cmp_cd=043260&amp;finGubun=MAIN&amp;frq=0&amp;sDT=20261014&amp;chartType=image</t>
        </is>
      </c>
      <c r="X95" s="15" t="inlineStr">
        <is>
          <t>27E 원표와 FnGuide 차이 10% 이내 또는 비교 자료 없음</t>
        </is>
      </c>
    </row>
    <row r="96" ht="21.95" customHeight="1">
      <c r="A96" s="4" t="inlineStr">
        <is>
          <t>RF머트리얼즈</t>
        </is>
      </c>
      <c r="B96" s="137" t="inlineStr">
        <is>
          <t>327260</t>
        </is>
      </c>
      <c r="C96" s="138" t="n"/>
      <c r="D96" s="138" t="n">
        <v>218.6</v>
      </c>
      <c r="E96" s="138" t="n">
        <v>315.6</v>
      </c>
      <c r="F96" s="138" t="n"/>
      <c r="G96" s="138" t="n"/>
      <c r="H96" s="6" t="n"/>
      <c r="I96" s="7" t="n">
        <v>38850</v>
      </c>
      <c r="J96" s="7" t="n">
        <v>17987408</v>
      </c>
      <c r="K96" s="9" t="inlineStr">
        <is>
          <t>2026-10-15 정규장 종가</t>
        </is>
      </c>
      <c r="L96" s="4" t="inlineStr">
        <is>
          <t>https://comp.wisereport.co.kr/company/c1050001.aspx?cmp_cd=327260</t>
        </is>
      </c>
      <c r="M96" s="4" t="inlineStr">
        <is>
          <t>https://polling.finance.naver.com/api/realtime/domestic/stock/327260</t>
        </is>
      </c>
      <c r="N96" s="4" t="inlineStr">
        <is>
          <t>https://polling.finance.naver.com/api/realtime/domestic/stock/327260</t>
        </is>
      </c>
      <c r="O96" s="139" t="n">
        <v>0.2618</v>
      </c>
      <c r="P96" s="4" t="inlineStr">
        <is>
          <t>IFRS연결</t>
        </is>
      </c>
      <c r="Q96" s="4" t="inlineStr">
        <is>
          <t>2026-10-14</t>
        </is>
      </c>
      <c r="R96" s="4" t="inlineStr">
        <is>
          <t>https://comp.wisereport.co.kr/company/ajax/c1050001_data.aspx?flag=2&amp;cmp_cd=327260&amp;finGubun=MAIN&amp;frq=0&amp;sDT=20261014&amp;chartType=image</t>
        </is>
      </c>
      <c r="S96" s="13" t="inlineStr">
        <is>
          <t>2027.12(E) ROE 직접 제공값과 대조 일치. 백분율 단위·종목코드 확인.</t>
        </is>
      </c>
      <c r="T96" s="140" t="n">
        <v>129</v>
      </c>
      <c r="U96" s="140" t="n">
        <v>183.8</v>
      </c>
      <c r="V96" s="4" t="inlineStr">
        <is>
          <t>IFRS연결</t>
        </is>
      </c>
      <c r="W96" s="15" t="inlineStr">
        <is>
          <t>https://comp.wisereport.co.kr/company/ajax/c1050001_data.aspx?flag=2&amp;cmp_cd=327260&amp;finGubun=MAIN&amp;frq=0&amp;sDT=20261014&amp;chartType=image</t>
        </is>
      </c>
      <c r="X96" s="15" t="inlineStr">
        <is>
          <t>27E 원표와 FnGuide 차이 10% 이내 또는 비교 자료 없음</t>
        </is>
      </c>
    </row>
    <row r="97" ht="21.95" customHeight="1">
      <c r="A97" s="4" t="inlineStr">
        <is>
          <t>삼성전기</t>
        </is>
      </c>
      <c r="B97" s="137" t="inlineStr">
        <is>
          <t>009150</t>
        </is>
      </c>
      <c r="C97" s="138" t="n"/>
      <c r="D97" s="138" t="n">
        <v>31520.68</v>
      </c>
      <c r="E97" s="138" t="n">
        <v>40214.84</v>
      </c>
      <c r="F97" s="138" t="n"/>
      <c r="G97" s="138" t="n"/>
      <c r="H97" s="6" t="n"/>
      <c r="I97" s="7" t="n">
        <v>1122000</v>
      </c>
      <c r="J97" s="7" t="n">
        <v>74693696</v>
      </c>
      <c r="K97" s="9" t="inlineStr">
        <is>
          <t>2026-10-15 정규장 종가</t>
        </is>
      </c>
      <c r="L97" s="4" t="inlineStr">
        <is>
          <t>https://comp.wisereport.co.kr/company/c1050001.aspx?cmp_cd=009150</t>
        </is>
      </c>
      <c r="M97" s="4" t="inlineStr">
        <is>
          <t>https://polling.finance.naver.com/api/realtime/domestic/stock/009150</t>
        </is>
      </c>
      <c r="N97" s="4" t="inlineStr">
        <is>
          <t>https://polling.finance.naver.com/api/realtime/domestic/stock/009150</t>
        </is>
      </c>
      <c r="O97" s="139" t="n">
        <v>0.2502</v>
      </c>
      <c r="P97" s="4" t="inlineStr">
        <is>
          <t>IFRS연결</t>
        </is>
      </c>
      <c r="Q97" s="4" t="inlineStr">
        <is>
          <t>2026-10-14</t>
        </is>
      </c>
      <c r="R97" s="4" t="inlineStr">
        <is>
          <t>https://comp.wisereport.co.kr/company/ajax/c1050001_data.aspx?flag=2&amp;cmp_cd=009150&amp;finGubun=MAIN&amp;frq=0&amp;sDT=20261014&amp;chartType=image</t>
        </is>
      </c>
      <c r="S97" s="13" t="inlineStr">
        <is>
          <t>2027.12(E) ROE 직접 제공값과 대조 일치. 백분율 단위·종목코드 확인.</t>
        </is>
      </c>
      <c r="T97" s="140" t="n">
        <v>16066.42</v>
      </c>
      <c r="U97" s="140" t="n">
        <v>20461.42</v>
      </c>
      <c r="V97" s="4" t="inlineStr">
        <is>
          <t>IFRS연결</t>
        </is>
      </c>
      <c r="W97" s="15" t="inlineStr">
        <is>
          <t>https://comp.wisereport.co.kr/company/ajax/c1050001_data.aspx?flag=2&amp;cmp_cd=009150&amp;finGubun=MAIN&amp;frq=0&amp;sDT=20261014&amp;chartType=image</t>
        </is>
      </c>
      <c r="X97" s="15" t="inlineStr">
        <is>
          <t>27E 원표와 FnGuide 차이 10% 이내 또는 비교 자료 없음</t>
        </is>
      </c>
    </row>
    <row r="98" ht="60" customHeight="1">
      <c r="A98" s="4" t="inlineStr">
        <is>
          <t>테크윙</t>
        </is>
      </c>
      <c r="B98" s="137" t="inlineStr">
        <is>
          <t>089030</t>
        </is>
      </c>
      <c r="C98" s="138" t="n"/>
      <c r="D98" s="138" t="n"/>
      <c r="E98" s="138" t="n"/>
      <c r="F98" s="138" t="n"/>
      <c r="G98" s="138" t="n"/>
      <c r="H98" s="6" t="n"/>
      <c r="I98" s="7" t="n">
        <v>39850</v>
      </c>
      <c r="J98" s="7" t="n">
        <v>37053645</v>
      </c>
      <c r="K98" s="9" t="inlineStr">
        <is>
          <t>2026-10-15 정규장 종가</t>
        </is>
      </c>
      <c r="L98" s="4" t="inlineStr">
        <is>
          <t>https://comp.wisereport.co.kr/company/c1050001.aspx?cmp_cd=089030</t>
        </is>
      </c>
      <c r="M98" s="4" t="inlineStr">
        <is>
          <t>https://polling.finance.naver.com/api/realtime/domestic/stock/089030</t>
        </is>
      </c>
      <c r="N98" s="4" t="inlineStr">
        <is>
          <t>https://polling.finance.naver.com/api/realtime/domestic/stock/089030</t>
        </is>
      </c>
      <c r="O98" s="139" t="inlineStr">
        <is>
          <t>미확인</t>
        </is>
      </c>
      <c r="P98" s="4" t="inlineStr">
        <is>
          <t>IFRS연결</t>
        </is>
      </c>
      <c r="Q98" s="4" t="inlineStr">
        <is>
          <t>2026-10-14</t>
        </is>
      </c>
      <c r="R98" s="4" t="inlineStr">
        <is>
          <t>https://comp.wisereport.co.kr/company/ajax/c1050001_data.aspx?flag=2&amp;cmp_cd=089030&amp;finGubun=MAIN&amp;frq=0&amp;sDT=20261014&amp;chartType=image</t>
        </is>
      </c>
      <c r="S98" s="13" t="inlineStr">
        <is>
          <t>기존 조회자료에서 2027년 이익·ROE 추정치 모두 미확인. 자료 부재를 0%로 처리하지 않음.</t>
        </is>
      </c>
      <c r="T98" s="140" t="n"/>
      <c r="U98" s="140" t="n"/>
      <c r="V98" s="4" t="inlineStr">
        <is>
          <t>IFRS연결</t>
        </is>
      </c>
      <c r="W98" s="15" t="inlineStr">
        <is>
          <t>https://comp.wisereport.co.kr/company/ajax/c1050001_data.aspx?flag=2&amp;cmp_cd=089030&amp;finGubun=MAIN&amp;frq=0&amp;sDT=20261014&amp;chartType=image</t>
        </is>
      </c>
      <c r="X98" s="15" t="inlineStr">
        <is>
          <t>FnGuide 2027E 일부 또는 전체 미확인</t>
        </is>
      </c>
    </row>
    <row r="99" ht="60" customHeight="1">
      <c r="A99" s="4" t="inlineStr">
        <is>
          <t>제우스</t>
        </is>
      </c>
      <c r="B99" s="137" t="inlineStr">
        <is>
          <t>079370</t>
        </is>
      </c>
      <c r="C99" s="138" t="n"/>
      <c r="D99" s="138" t="n"/>
      <c r="E99" s="138" t="n"/>
      <c r="F99" s="138" t="n"/>
      <c r="G99" s="138" t="n"/>
      <c r="H99" s="6" t="n"/>
      <c r="I99" s="7" t="n">
        <v>10180</v>
      </c>
      <c r="J99" s="7" t="n">
        <v>31016990</v>
      </c>
      <c r="K99" s="9" t="inlineStr">
        <is>
          <t>2026-10-15 정규장 종가</t>
        </is>
      </c>
      <c r="L99" s="4" t="inlineStr">
        <is>
          <t>https://comp.wisereport.co.kr/company/c1050001.aspx?cmp_cd=079370</t>
        </is>
      </c>
      <c r="M99" s="4" t="inlineStr">
        <is>
          <t>https://polling.finance.naver.com/api/realtime/domestic/stock/079370</t>
        </is>
      </c>
      <c r="N99" s="4" t="inlineStr">
        <is>
          <t>https://polling.finance.naver.com/api/realtime/domestic/stock/079370</t>
        </is>
      </c>
      <c r="O99" s="139" t="inlineStr">
        <is>
          <t>미확인</t>
        </is>
      </c>
      <c r="P99" s="4" t="inlineStr">
        <is>
          <t>IFRS연결</t>
        </is>
      </c>
      <c r="Q99" s="4" t="inlineStr">
        <is>
          <t>2026-10-14</t>
        </is>
      </c>
      <c r="R99" s="4" t="inlineStr">
        <is>
          <t>https://comp.wisereport.co.kr/company/ajax/c1050001_data.aspx?flag=2&amp;cmp_cd=079370&amp;finGubun=MAIN&amp;frq=0&amp;sDT=20261014&amp;chartType=image</t>
        </is>
      </c>
      <c r="S99" s="13" t="inlineStr">
        <is>
          <t>기존 조회자료에서 2027년 이익·ROE 추정치 모두 미확인. 자료 부재를 0%로 처리하지 않음.</t>
        </is>
      </c>
      <c r="T99" s="140" t="n"/>
      <c r="U99" s="140" t="n"/>
      <c r="V99" s="4" t="inlineStr">
        <is>
          <t>IFRS연결</t>
        </is>
      </c>
      <c r="W99" s="15" t="inlineStr">
        <is>
          <t>https://comp.wisereport.co.kr/company/ajax/c1050001_data.aspx?flag=2&amp;cmp_cd=079370&amp;finGubun=MAIN&amp;frq=0&amp;sDT=20261014&amp;chartType=image</t>
        </is>
      </c>
      <c r="X99" s="15" t="inlineStr">
        <is>
          <t>FnGuide 2027E 일부 또는 전체 미확인</t>
        </is>
      </c>
    </row>
    <row r="100" ht="60" customHeight="1">
      <c r="A100" s="4" t="inlineStr">
        <is>
          <t>한양디지텍</t>
        </is>
      </c>
      <c r="B100" s="137" t="inlineStr">
        <is>
          <t>078350</t>
        </is>
      </c>
      <c r="C100" s="138" t="n"/>
      <c r="D100" s="138" t="n"/>
      <c r="E100" s="138" t="n"/>
      <c r="F100" s="138" t="n"/>
      <c r="G100" s="138" t="n"/>
      <c r="H100" s="6" t="n"/>
      <c r="I100" s="7" t="n"/>
      <c r="J100" s="7" t="n"/>
      <c r="K100" s="9" t="n"/>
      <c r="L100" s="4" t="n"/>
      <c r="M100" s="4" t="n"/>
      <c r="N100" s="4" t="n"/>
      <c r="O100" s="139" t="n"/>
      <c r="P100" s="4" t="n"/>
      <c r="Q100" s="4" t="n"/>
      <c r="R100" s="4" t="n"/>
      <c r="S100" s="13" t="n"/>
      <c r="T100" s="140" t="n"/>
      <c r="U100" s="140" t="n"/>
      <c r="V100" s="4" t="n"/>
      <c r="W100" s="15" t="n"/>
      <c r="X100" s="15" t="n"/>
    </row>
    <row r="101" ht="60" customHeight="1">
      <c r="A101" s="4" t="inlineStr">
        <is>
          <t>RFHIC</t>
        </is>
      </c>
      <c r="B101" s="137" t="inlineStr">
        <is>
          <t>218410</t>
        </is>
      </c>
      <c r="C101" s="138" t="n"/>
      <c r="D101" s="138" t="n"/>
      <c r="E101" s="138" t="n"/>
      <c r="F101" s="138" t="n"/>
      <c r="G101" s="138" t="n"/>
      <c r="H101" s="6" t="n"/>
      <c r="I101" s="7" t="n"/>
      <c r="J101" s="7" t="n"/>
      <c r="K101" s="9" t="n"/>
      <c r="L101" s="4" t="n"/>
      <c r="M101" s="4" t="n"/>
      <c r="N101" s="4" t="n"/>
      <c r="O101" s="139" t="n"/>
      <c r="P101" s="4" t="n"/>
      <c r="Q101" s="4" t="n"/>
      <c r="R101" s="4" t="n"/>
      <c r="S101" s="13" t="n"/>
      <c r="T101" s="140" t="n"/>
      <c r="U101" s="140" t="n"/>
      <c r="V101" s="4" t="n"/>
      <c r="W101" s="15" t="n"/>
      <c r="X101" s="15" t="n"/>
    </row>
    <row r="102" ht="60" customHeight="1">
      <c r="A102" s="4" t="inlineStr">
        <is>
          <t>오로스테크놀로지</t>
        </is>
      </c>
      <c r="B102" s="137" t="inlineStr">
        <is>
          <t>322310</t>
        </is>
      </c>
      <c r="C102" s="138" t="n"/>
      <c r="D102" s="138" t="n"/>
      <c r="E102" s="138" t="n"/>
      <c r="F102" s="138" t="n"/>
      <c r="G102" s="138" t="n"/>
      <c r="H102" s="6" t="n"/>
      <c r="I102" s="7" t="n"/>
      <c r="J102" s="7" t="n"/>
      <c r="K102" s="9" t="n"/>
      <c r="L102" s="4" t="n"/>
      <c r="M102" s="4" t="n"/>
      <c r="N102" s="4" t="n"/>
      <c r="O102" s="139" t="n"/>
      <c r="P102" s="4" t="n"/>
      <c r="Q102" s="4" t="n"/>
      <c r="R102" s="4" t="n"/>
      <c r="S102" s="13" t="n"/>
      <c r="T102" s="140" t="n"/>
      <c r="U102" s="140" t="n"/>
      <c r="V102" s="4" t="n"/>
      <c r="W102" s="15" t="n"/>
      <c r="X102" s="15" t="n"/>
    </row>
    <row r="103" ht="60" customHeight="1">
      <c r="A103" s="4" t="inlineStr">
        <is>
          <t>다원넥스뷰</t>
        </is>
      </c>
      <c r="B103" s="137" t="inlineStr">
        <is>
          <t>323350</t>
        </is>
      </c>
      <c r="C103" s="138" t="n"/>
      <c r="D103" s="138" t="n"/>
      <c r="E103" s="138" t="n"/>
      <c r="F103" s="138" t="n"/>
      <c r="G103" s="138" t="n"/>
      <c r="H103" s="6" t="n"/>
      <c r="I103" s="7" t="n"/>
      <c r="J103" s="7" t="n"/>
      <c r="K103" s="9" t="n"/>
      <c r="L103" s="4" t="n"/>
      <c r="M103" s="4" t="n"/>
      <c r="N103" s="4" t="n"/>
      <c r="O103" s="139" t="n"/>
      <c r="P103" s="4" t="n"/>
      <c r="Q103" s="4" t="n"/>
      <c r="R103" s="4" t="n"/>
      <c r="S103" s="13" t="n"/>
      <c r="T103" s="140" t="n"/>
      <c r="U103" s="140" t="n"/>
      <c r="V103" s="4" t="n"/>
      <c r="W103" s="15" t="n"/>
      <c r="X103" s="15" t="n"/>
    </row>
    <row r="104" ht="60" customHeight="1">
      <c r="A104" s="4" t="inlineStr">
        <is>
          <t>드림텍</t>
        </is>
      </c>
      <c r="B104" s="137" t="inlineStr">
        <is>
          <t>192650</t>
        </is>
      </c>
      <c r="C104" s="138" t="n"/>
      <c r="D104" s="138" t="n"/>
      <c r="E104" s="138" t="n"/>
      <c r="F104" s="138" t="n"/>
      <c r="G104" s="138" t="n"/>
      <c r="H104" s="6" t="n"/>
      <c r="I104" s="7" t="n"/>
      <c r="J104" s="7" t="n"/>
      <c r="K104" s="9" t="n"/>
      <c r="L104" s="4" t="n"/>
      <c r="M104" s="4" t="n"/>
      <c r="N104" s="4" t="n"/>
      <c r="O104" s="139" t="n"/>
      <c r="P104" s="4" t="n"/>
      <c r="Q104" s="4" t="n"/>
      <c r="R104" s="4" t="n"/>
      <c r="S104" s="13" t="n"/>
      <c r="T104" s="140" t="n"/>
      <c r="U104" s="140" t="n"/>
      <c r="V104" s="4" t="n"/>
      <c r="W104" s="15" t="n"/>
      <c r="X104" s="15" t="n"/>
    </row>
    <row r="105" ht="60" customHeight="1">
      <c r="A105" s="4" t="inlineStr">
        <is>
          <t>에이팩트</t>
        </is>
      </c>
      <c r="B105" s="137" t="inlineStr">
        <is>
          <t>200470</t>
        </is>
      </c>
      <c r="C105" s="138" t="n"/>
      <c r="D105" s="138" t="n"/>
      <c r="E105" s="138" t="n"/>
      <c r="F105" s="138" t="n"/>
      <c r="G105" s="138" t="n"/>
      <c r="H105" s="6" t="n"/>
      <c r="I105" s="7" t="n"/>
      <c r="J105" s="7" t="n"/>
      <c r="K105" s="9" t="n"/>
      <c r="L105" s="4" t="n"/>
      <c r="M105" s="4" t="n"/>
      <c r="N105" s="4" t="n"/>
      <c r="O105" s="139" t="n"/>
      <c r="P105" s="4" t="n"/>
      <c r="Q105" s="4" t="n"/>
      <c r="R105" s="4" t="n"/>
      <c r="S105" s="13" t="n"/>
      <c r="T105" s="140" t="n"/>
      <c r="U105" s="140" t="n"/>
      <c r="V105" s="4" t="n"/>
      <c r="W105" s="15" t="n"/>
      <c r="X105" s="15" t="n"/>
    </row>
    <row r="106" ht="60" customHeight="1">
      <c r="A106" s="4" t="inlineStr">
        <is>
          <t>솔브레인홀딩스</t>
        </is>
      </c>
      <c r="B106" s="137" t="inlineStr">
        <is>
          <t>036830</t>
        </is>
      </c>
      <c r="C106" s="138" t="n"/>
      <c r="D106" s="138" t="n"/>
      <c r="E106" s="138" t="n"/>
      <c r="F106" s="138" t="n"/>
      <c r="G106" s="138" t="n"/>
      <c r="H106" s="6" t="n"/>
      <c r="I106" s="7" t="n"/>
      <c r="J106" s="7" t="n"/>
      <c r="K106" s="9" t="n"/>
      <c r="L106" s="4" t="n"/>
      <c r="M106" s="4" t="n"/>
      <c r="N106" s="4" t="n"/>
      <c r="O106" s="139" t="n"/>
      <c r="P106" s="4" t="n"/>
      <c r="Q106" s="4" t="n"/>
      <c r="R106" s="4" t="n"/>
      <c r="S106" s="13" t="n"/>
      <c r="T106" s="140" t="n"/>
      <c r="U106" s="140" t="n"/>
      <c r="V106" s="4" t="n"/>
      <c r="W106" s="15" t="n"/>
      <c r="X106" s="15" t="n"/>
    </row>
    <row r="107" ht="60" customHeight="1">
      <c r="A107" s="4" t="inlineStr">
        <is>
          <t>에스앤에스텍</t>
        </is>
      </c>
      <c r="B107" s="137" t="inlineStr">
        <is>
          <t>101490</t>
        </is>
      </c>
      <c r="C107" s="138" t="n"/>
      <c r="D107" s="138" t="n"/>
      <c r="E107" s="138" t="n"/>
      <c r="F107" s="138" t="n"/>
      <c r="G107" s="138" t="n"/>
      <c r="H107" s="6" t="n"/>
      <c r="I107" s="7" t="n"/>
      <c r="J107" s="7" t="n"/>
      <c r="K107" s="9" t="n"/>
      <c r="L107" s="4" t="n"/>
      <c r="M107" s="4" t="n"/>
      <c r="N107" s="4" t="n"/>
      <c r="O107" s="139" t="n"/>
      <c r="P107" s="4" t="n"/>
      <c r="Q107" s="4" t="n"/>
      <c r="R107" s="4" t="n"/>
      <c r="S107" s="13" t="n"/>
      <c r="T107" s="140" t="n"/>
      <c r="U107" s="140" t="n"/>
      <c r="V107" s="4" t="n"/>
      <c r="W107" s="15" t="n"/>
      <c r="X107" s="15" t="n"/>
    </row>
    <row r="108" ht="60" customHeight="1">
      <c r="A108" s="4" t="inlineStr">
        <is>
          <t>동진쎄미켐</t>
        </is>
      </c>
      <c r="B108" s="137" t="inlineStr">
        <is>
          <t>005290</t>
        </is>
      </c>
      <c r="C108" s="138" t="n"/>
      <c r="D108" s="138" t="n"/>
      <c r="E108" s="138" t="n"/>
      <c r="F108" s="138" t="n"/>
      <c r="G108" s="138" t="n"/>
      <c r="H108" s="6" t="n"/>
      <c r="I108" s="7" t="n"/>
      <c r="J108" s="7" t="n"/>
      <c r="K108" s="9" t="n"/>
      <c r="L108" s="4" t="n"/>
      <c r="M108" s="4" t="n"/>
      <c r="N108" s="4" t="n"/>
      <c r="O108" s="139" t="n"/>
      <c r="P108" s="4" t="n"/>
      <c r="Q108" s="4" t="n"/>
      <c r="R108" s="4" t="n"/>
      <c r="S108" s="13" t="n"/>
      <c r="T108" s="140" t="n"/>
      <c r="U108" s="140" t="n"/>
      <c r="V108" s="4" t="n"/>
      <c r="W108" s="15" t="n"/>
      <c r="X108" s="15" t="n"/>
    </row>
    <row r="109" ht="60" customHeight="1">
      <c r="A109" s="4" t="inlineStr">
        <is>
          <t>레이크머티리얼즈</t>
        </is>
      </c>
      <c r="B109" s="137" t="inlineStr">
        <is>
          <t>281740</t>
        </is>
      </c>
      <c r="C109" s="138" t="n"/>
      <c r="D109" s="138" t="n"/>
      <c r="E109" s="138" t="n"/>
      <c r="F109" s="138" t="n"/>
      <c r="G109" s="138" t="n"/>
      <c r="H109" s="6" t="n"/>
      <c r="I109" s="7" t="n"/>
      <c r="J109" s="7" t="n"/>
      <c r="K109" s="9" t="n"/>
      <c r="L109" s="4" t="n"/>
      <c r="M109" s="4" t="n"/>
      <c r="N109" s="4" t="n"/>
      <c r="O109" s="139" t="n"/>
      <c r="P109" s="4" t="n"/>
      <c r="Q109" s="4" t="n"/>
      <c r="R109" s="4" t="n"/>
      <c r="S109" s="13" t="n"/>
      <c r="T109" s="140" t="n"/>
      <c r="U109" s="140" t="n"/>
      <c r="V109" s="4" t="n"/>
      <c r="W109" s="15" t="n"/>
      <c r="X109" s="15" t="n"/>
    </row>
    <row r="110" ht="60" customHeight="1">
      <c r="A110" s="4" t="inlineStr">
        <is>
          <t>월덱스</t>
        </is>
      </c>
      <c r="B110" s="137" t="inlineStr">
        <is>
          <t>101160</t>
        </is>
      </c>
      <c r="C110" s="138" t="n"/>
      <c r="D110" s="138" t="n"/>
      <c r="E110" s="138" t="n"/>
      <c r="F110" s="138" t="n"/>
      <c r="G110" s="138" t="n"/>
      <c r="H110" s="6" t="n"/>
      <c r="I110" s="7" t="n"/>
      <c r="J110" s="7" t="n"/>
      <c r="K110" s="9" t="n"/>
      <c r="L110" s="4" t="n"/>
      <c r="M110" s="4" t="n"/>
      <c r="N110" s="4" t="n"/>
      <c r="O110" s="139" t="n"/>
      <c r="P110" s="4" t="n"/>
      <c r="Q110" s="4" t="n"/>
      <c r="R110" s="4" t="n"/>
      <c r="S110" s="13" t="n"/>
      <c r="T110" s="140" t="n"/>
      <c r="U110" s="140" t="n"/>
      <c r="V110" s="4" t="n"/>
      <c r="W110" s="15" t="n"/>
      <c r="X110" s="15" t="n"/>
    </row>
    <row r="111" ht="60" customHeight="1">
      <c r="A111" s="4" t="inlineStr">
        <is>
          <t>아모텍</t>
        </is>
      </c>
      <c r="B111" s="137" t="inlineStr">
        <is>
          <t>052710</t>
        </is>
      </c>
      <c r="C111" s="138" t="n"/>
      <c r="D111" s="138" t="n"/>
      <c r="E111" s="138" t="n"/>
      <c r="F111" s="138" t="n"/>
      <c r="G111" s="138" t="n"/>
      <c r="H111" s="6" t="n"/>
      <c r="I111" s="7" t="n"/>
      <c r="J111" s="7" t="n"/>
      <c r="K111" s="9" t="n"/>
      <c r="L111" s="4" t="n"/>
      <c r="M111" s="4" t="n"/>
      <c r="N111" s="4" t="n"/>
      <c r="O111" s="139" t="n"/>
      <c r="P111" s="4" t="n"/>
      <c r="Q111" s="4" t="n"/>
      <c r="R111" s="4" t="n"/>
      <c r="S111" s="13" t="n"/>
      <c r="T111" s="140" t="n"/>
      <c r="U111" s="140" t="n"/>
      <c r="V111" s="4" t="n"/>
      <c r="W111" s="15" t="n"/>
      <c r="X111" s="15" t="n"/>
    </row>
    <row r="112" ht="60" customHeight="1">
      <c r="A112" s="4" t="inlineStr">
        <is>
          <t>OCI홀딩스</t>
        </is>
      </c>
      <c r="B112" s="137" t="inlineStr">
        <is>
          <t>010060</t>
        </is>
      </c>
      <c r="C112" s="138" t="n"/>
      <c r="D112" s="138" t="n"/>
      <c r="E112" s="138" t="n"/>
      <c r="F112" s="138" t="n"/>
      <c r="G112" s="138" t="n"/>
      <c r="H112" s="6" t="n"/>
      <c r="I112" s="7" t="n"/>
      <c r="J112" s="7" t="n"/>
      <c r="K112" s="9" t="n"/>
      <c r="L112" s="4" t="n"/>
      <c r="M112" s="4" t="n"/>
      <c r="N112" s="4" t="n"/>
      <c r="O112" s="139" t="n"/>
      <c r="P112" s="4" t="n"/>
      <c r="Q112" s="4" t="n"/>
      <c r="R112" s="4" t="n"/>
      <c r="S112" s="13" t="n"/>
      <c r="T112" s="140" t="n"/>
      <c r="U112" s="140" t="n"/>
      <c r="V112" s="4" t="n"/>
      <c r="W112" s="15" t="n"/>
      <c r="X112" s="15" t="n"/>
    </row>
    <row r="113" ht="60" customHeight="1">
      <c r="A113" s="4" t="inlineStr">
        <is>
          <t>AP시스템</t>
        </is>
      </c>
      <c r="B113" s="137" t="inlineStr">
        <is>
          <t>265520</t>
        </is>
      </c>
      <c r="C113" s="138" t="n"/>
      <c r="D113" s="138" t="n"/>
      <c r="E113" s="138" t="n"/>
      <c r="F113" s="138" t="n"/>
      <c r="G113" s="138" t="n"/>
      <c r="H113" s="6" t="n"/>
      <c r="I113" s="7" t="n"/>
      <c r="J113" s="7" t="n"/>
      <c r="K113" s="9" t="n"/>
      <c r="L113" s="4" t="n"/>
      <c r="M113" s="4" t="n"/>
      <c r="N113" s="4" t="n"/>
      <c r="O113" s="139" t="n"/>
      <c r="P113" s="4" t="n"/>
      <c r="Q113" s="4" t="n"/>
      <c r="R113" s="4" t="n"/>
      <c r="S113" s="13" t="n"/>
      <c r="T113" s="140" t="n"/>
      <c r="U113" s="140" t="n"/>
      <c r="V113" s="4" t="n"/>
      <c r="W113" s="15" t="n"/>
      <c r="X113" s="15" t="n"/>
    </row>
    <row r="114" ht="60" customHeight="1">
      <c r="A114" s="4" t="inlineStr">
        <is>
          <t>켐트로닉스</t>
        </is>
      </c>
      <c r="B114" s="137" t="inlineStr">
        <is>
          <t>089010</t>
        </is>
      </c>
      <c r="C114" s="138" t="n"/>
      <c r="D114" s="138" t="n"/>
      <c r="E114" s="138" t="n"/>
      <c r="F114" s="138" t="n"/>
      <c r="G114" s="138" t="n"/>
      <c r="H114" s="6" t="n"/>
      <c r="I114" s="7" t="n"/>
      <c r="J114" s="7" t="n"/>
      <c r="K114" s="9" t="n"/>
      <c r="L114" s="4" t="n"/>
      <c r="M114" s="4" t="n"/>
      <c r="N114" s="4" t="n"/>
      <c r="O114" s="139" t="n"/>
      <c r="P114" s="4" t="n"/>
      <c r="Q114" s="4" t="n"/>
      <c r="R114" s="4" t="n"/>
      <c r="S114" s="13" t="n"/>
      <c r="T114" s="140" t="n"/>
      <c r="U114" s="140" t="n"/>
      <c r="V114" s="4" t="n"/>
      <c r="W114" s="15" t="n"/>
      <c r="X114" s="15" t="n"/>
    </row>
    <row r="115" ht="60" customHeight="1">
      <c r="A115" s="4" t="inlineStr">
        <is>
          <t>씨엠티엑스</t>
        </is>
      </c>
      <c r="B115" s="137" t="inlineStr">
        <is>
          <t>388210</t>
        </is>
      </c>
      <c r="C115" s="138" t="n"/>
      <c r="D115" s="138" t="n"/>
      <c r="E115" s="138" t="n"/>
      <c r="F115" s="138" t="n"/>
      <c r="G115" s="138" t="n"/>
      <c r="H115" s="6" t="n"/>
      <c r="I115" s="7" t="n"/>
      <c r="J115" s="7" t="n"/>
      <c r="K115" s="9" t="n"/>
      <c r="L115" s="4" t="n"/>
      <c r="M115" s="4" t="n"/>
      <c r="N115" s="4" t="n"/>
      <c r="O115" s="139" t="n"/>
      <c r="P115" s="4" t="n"/>
      <c r="Q115" s="4" t="n"/>
      <c r="R115" s="4" t="n"/>
      <c r="S115" s="13" t="n"/>
      <c r="T115" s="140" t="n"/>
      <c r="U115" s="140" t="n"/>
      <c r="V115" s="4" t="n"/>
      <c r="W115" s="15" t="n"/>
      <c r="X115" s="15" t="n"/>
    </row>
    <row r="116" ht="60" customHeight="1">
      <c r="A116" s="4" t="inlineStr">
        <is>
          <t>디엔에프</t>
        </is>
      </c>
      <c r="B116" s="137" t="inlineStr">
        <is>
          <t>092070</t>
        </is>
      </c>
      <c r="C116" s="138" t="n"/>
      <c r="D116" s="138" t="n"/>
      <c r="E116" s="138" t="n"/>
      <c r="F116" s="138" t="n"/>
      <c r="G116" s="138" t="n"/>
      <c r="H116" s="6" t="n"/>
      <c r="I116" s="7" t="n"/>
      <c r="J116" s="7" t="n"/>
      <c r="K116" s="9" t="n"/>
      <c r="L116" s="4" t="n"/>
      <c r="M116" s="4" t="n"/>
      <c r="N116" s="4" t="n"/>
      <c r="O116" s="139" t="n"/>
      <c r="P116" s="4" t="n"/>
      <c r="Q116" s="4" t="n"/>
      <c r="R116" s="4" t="n"/>
      <c r="S116" s="13" t="n"/>
      <c r="T116" s="140" t="n"/>
      <c r="U116" s="140" t="n"/>
      <c r="V116" s="4" t="n"/>
      <c r="W116" s="15" t="n"/>
      <c r="X116" s="15" t="n"/>
    </row>
    <row r="117" ht="60" customHeight="1">
      <c r="A117" s="4" t="inlineStr">
        <is>
          <t>케이씨텍</t>
        </is>
      </c>
      <c r="B117" s="137" t="inlineStr">
        <is>
          <t>281820</t>
        </is>
      </c>
      <c r="C117" s="138" t="n"/>
      <c r="D117" s="138" t="n"/>
      <c r="E117" s="138" t="n"/>
      <c r="F117" s="138" t="n"/>
      <c r="G117" s="138" t="n"/>
      <c r="H117" s="6" t="n"/>
      <c r="I117" s="7" t="n"/>
      <c r="J117" s="7" t="n"/>
      <c r="K117" s="9" t="n"/>
      <c r="L117" s="4" t="n"/>
      <c r="M117" s="4" t="n"/>
      <c r="N117" s="4" t="n"/>
      <c r="O117" s="139" t="n"/>
      <c r="P117" s="4" t="n"/>
      <c r="Q117" s="4" t="n"/>
      <c r="R117" s="4" t="n"/>
      <c r="S117" s="13" t="n"/>
      <c r="T117" s="140" t="n"/>
      <c r="U117" s="140" t="n"/>
      <c r="V117" s="4" t="n"/>
      <c r="W117" s="15" t="n"/>
      <c r="X117" s="15" t="n"/>
    </row>
    <row r="118" ht="60" customHeight="1">
      <c r="A118" s="4" t="inlineStr">
        <is>
          <t>한양이엔지</t>
        </is>
      </c>
      <c r="B118" s="137" t="inlineStr">
        <is>
          <t>045100</t>
        </is>
      </c>
      <c r="C118" s="138" t="n"/>
      <c r="D118" s="138" t="n"/>
      <c r="E118" s="138" t="n"/>
      <c r="F118" s="138" t="n"/>
      <c r="G118" s="138" t="n"/>
      <c r="H118" s="6" t="n"/>
      <c r="I118" s="7" t="n"/>
      <c r="J118" s="7" t="n"/>
      <c r="K118" s="9" t="n"/>
      <c r="L118" s="4" t="n"/>
      <c r="M118" s="4" t="n"/>
      <c r="N118" s="4" t="n"/>
      <c r="O118" s="139" t="n"/>
      <c r="P118" s="4" t="n"/>
      <c r="Q118" s="4" t="n"/>
      <c r="R118" s="4" t="n"/>
      <c r="S118" s="13" t="n"/>
      <c r="T118" s="140" t="n"/>
      <c r="U118" s="140" t="n"/>
      <c r="V118" s="4" t="n"/>
      <c r="W118" s="15" t="n"/>
      <c r="X118" s="15" t="n"/>
    </row>
    <row r="119" ht="60" customHeight="1">
      <c r="A119" s="4" t="inlineStr">
        <is>
          <t>성도이엔지</t>
        </is>
      </c>
      <c r="B119" s="137" t="inlineStr">
        <is>
          <t>037350</t>
        </is>
      </c>
      <c r="C119" s="138" t="n"/>
      <c r="D119" s="138" t="n"/>
      <c r="E119" s="138" t="n"/>
      <c r="F119" s="138" t="n"/>
      <c r="G119" s="138" t="n"/>
      <c r="H119" s="6" t="n"/>
      <c r="I119" s="7" t="n"/>
      <c r="J119" s="7" t="n"/>
      <c r="K119" s="9" t="n"/>
      <c r="L119" s="4" t="n"/>
      <c r="M119" s="4" t="n"/>
      <c r="N119" s="4" t="n"/>
      <c r="O119" s="139" t="n"/>
      <c r="P119" s="4" t="n"/>
      <c r="Q119" s="4" t="n"/>
      <c r="R119" s="4" t="n"/>
      <c r="S119" s="13" t="n"/>
      <c r="T119" s="140" t="n"/>
      <c r="U119" s="140" t="n"/>
      <c r="V119" s="4" t="n"/>
      <c r="W119" s="15" t="n"/>
      <c r="X119" s="15" t="n"/>
    </row>
    <row r="120" ht="60" customHeight="1">
      <c r="A120" s="4" t="inlineStr">
        <is>
          <t>케이엔솔</t>
        </is>
      </c>
      <c r="B120" s="137" t="inlineStr">
        <is>
          <t>053080</t>
        </is>
      </c>
      <c r="C120" s="138" t="n"/>
      <c r="D120" s="138" t="n"/>
      <c r="E120" s="138" t="n"/>
      <c r="F120" s="138" t="n"/>
      <c r="G120" s="138" t="n"/>
      <c r="H120" s="6" t="n"/>
      <c r="I120" s="7" t="n"/>
      <c r="J120" s="7" t="n"/>
      <c r="K120" s="9" t="n"/>
      <c r="L120" s="4" t="n"/>
      <c r="M120" s="4" t="n"/>
      <c r="N120" s="4" t="n"/>
      <c r="O120" s="139" t="n"/>
      <c r="P120" s="4" t="n"/>
      <c r="Q120" s="4" t="n"/>
      <c r="R120" s="4" t="n"/>
      <c r="S120" s="13" t="n"/>
      <c r="T120" s="140" t="n"/>
      <c r="U120" s="140" t="n"/>
      <c r="V120" s="4" t="n"/>
      <c r="W120" s="15" t="n"/>
      <c r="X120" s="15" t="n"/>
    </row>
    <row r="121" ht="60" customHeight="1">
      <c r="A121" s="4" t="inlineStr">
        <is>
          <t>SFA</t>
        </is>
      </c>
      <c r="B121" s="137" t="inlineStr">
        <is>
          <t>056190</t>
        </is>
      </c>
      <c r="C121" s="138" t="n"/>
      <c r="D121" s="138" t="n"/>
      <c r="E121" s="138" t="n"/>
      <c r="F121" s="138" t="n"/>
      <c r="G121" s="138" t="n"/>
      <c r="H121" s="6" t="n"/>
      <c r="I121" s="7" t="n"/>
      <c r="J121" s="7" t="n"/>
      <c r="K121" s="9" t="n"/>
      <c r="L121" s="4" t="n"/>
      <c r="M121" s="4" t="n"/>
      <c r="N121" s="4" t="n"/>
      <c r="O121" s="139" t="n"/>
      <c r="P121" s="4" t="n"/>
      <c r="Q121" s="4" t="n"/>
      <c r="R121" s="4" t="n"/>
      <c r="S121" s="13" t="n"/>
      <c r="T121" s="140" t="n"/>
      <c r="U121" s="140" t="n"/>
      <c r="V121" s="4" t="n"/>
      <c r="W121" s="15" t="n"/>
      <c r="X121" s="15" t="n"/>
    </row>
    <row r="122" ht="60" customHeight="1">
      <c r="A122" s="4" t="inlineStr">
        <is>
          <t>에스티아이</t>
        </is>
      </c>
      <c r="B122" s="137" t="inlineStr">
        <is>
          <t>039440</t>
        </is>
      </c>
      <c r="C122" s="138" t="n"/>
      <c r="D122" s="138" t="n"/>
      <c r="E122" s="138" t="n"/>
      <c r="F122" s="138" t="n"/>
      <c r="G122" s="138" t="n"/>
      <c r="H122" s="6" t="n"/>
      <c r="I122" s="7" t="n"/>
      <c r="J122" s="7" t="n"/>
      <c r="K122" s="9" t="n"/>
      <c r="L122" s="4" t="n"/>
      <c r="M122" s="4" t="n"/>
      <c r="N122" s="4" t="n"/>
      <c r="O122" s="139" t="n"/>
      <c r="P122" s="4" t="n"/>
      <c r="Q122" s="4" t="n"/>
      <c r="R122" s="4" t="n"/>
      <c r="S122" s="13" t="n"/>
      <c r="T122" s="140" t="n"/>
      <c r="U122" s="140" t="n"/>
      <c r="V122" s="4" t="n"/>
      <c r="W122" s="15" t="n"/>
      <c r="X122" s="15" t="n"/>
    </row>
    <row r="123" ht="60" customHeight="1">
      <c r="A123" s="4" t="inlineStr">
        <is>
          <t>지아이에스</t>
        </is>
      </c>
      <c r="B123" s="137" t="inlineStr">
        <is>
          <t>306620</t>
        </is>
      </c>
      <c r="C123" s="138" t="n"/>
      <c r="D123" s="138" t="n"/>
      <c r="E123" s="138" t="n"/>
      <c r="F123" s="138" t="n"/>
      <c r="G123" s="138" t="n"/>
      <c r="H123" s="6" t="n"/>
      <c r="I123" s="7" t="n"/>
      <c r="J123" s="7" t="n"/>
      <c r="K123" s="9" t="n"/>
      <c r="L123" s="4" t="n"/>
      <c r="M123" s="4" t="n"/>
      <c r="N123" s="4" t="n"/>
      <c r="O123" s="139" t="n"/>
      <c r="P123" s="4" t="n"/>
      <c r="Q123" s="4" t="n"/>
      <c r="R123" s="4" t="n"/>
      <c r="S123" s="13" t="n"/>
      <c r="T123" s="140" t="n"/>
      <c r="U123" s="140" t="n"/>
      <c r="V123" s="4" t="n"/>
      <c r="W123" s="15" t="n"/>
      <c r="X123" s="15" t="n"/>
    </row>
    <row r="124" ht="60" customHeight="1">
      <c r="A124" s="4" t="inlineStr">
        <is>
          <t>서진시스템</t>
        </is>
      </c>
      <c r="B124" s="137" t="inlineStr">
        <is>
          <t>178320</t>
        </is>
      </c>
      <c r="C124" s="138" t="n"/>
      <c r="D124" s="138" t="n"/>
      <c r="E124" s="138" t="n"/>
      <c r="F124" s="138" t="n"/>
      <c r="G124" s="138" t="n"/>
      <c r="H124" s="6" t="n"/>
      <c r="I124" s="7" t="n"/>
      <c r="J124" s="7" t="n"/>
      <c r="K124" s="9" t="n"/>
      <c r="L124" s="4" t="n"/>
      <c r="M124" s="4" t="n"/>
      <c r="N124" s="4" t="n"/>
      <c r="O124" s="139" t="n"/>
      <c r="P124" s="4" t="n"/>
      <c r="Q124" s="4" t="n"/>
      <c r="R124" s="4" t="n"/>
      <c r="S124" s="13" t="n"/>
      <c r="T124" s="140" t="n"/>
      <c r="U124" s="140" t="n"/>
      <c r="V124" s="4" t="n"/>
      <c r="W124" s="15" t="n"/>
      <c r="X124" s="15" t="n"/>
    </row>
    <row r="125" ht="60" customHeight="1">
      <c r="A125" s="4" t="inlineStr">
        <is>
          <t>아스플로</t>
        </is>
      </c>
      <c r="B125" s="137" t="inlineStr">
        <is>
          <t>159010</t>
        </is>
      </c>
      <c r="C125" s="138" t="n"/>
      <c r="D125" s="138" t="n"/>
      <c r="E125" s="138" t="n"/>
      <c r="F125" s="138" t="n"/>
      <c r="G125" s="138" t="n"/>
      <c r="H125" s="6" t="n"/>
      <c r="I125" s="7" t="n"/>
      <c r="J125" s="7" t="n"/>
      <c r="K125" s="9" t="n"/>
      <c r="L125" s="4" t="n"/>
      <c r="M125" s="4" t="n"/>
      <c r="N125" s="4" t="n"/>
      <c r="O125" s="139" t="n"/>
      <c r="P125" s="4" t="n"/>
      <c r="Q125" s="4" t="n"/>
      <c r="R125" s="4" t="n"/>
      <c r="S125" s="13" t="n"/>
      <c r="T125" s="140" t="n"/>
      <c r="U125" s="140" t="n"/>
      <c r="V125" s="4" t="n"/>
      <c r="W125" s="15" t="n"/>
      <c r="X125" s="15" t="n"/>
    </row>
    <row r="126" ht="60" customHeight="1">
      <c r="A126" s="4" t="inlineStr">
        <is>
          <t>한화비전</t>
        </is>
      </c>
      <c r="B126" s="137" t="inlineStr">
        <is>
          <t>489790</t>
        </is>
      </c>
      <c r="C126" s="138" t="n"/>
      <c r="D126" s="138" t="n"/>
      <c r="E126" s="138" t="n"/>
      <c r="F126" s="138" t="n"/>
      <c r="G126" s="138" t="n"/>
      <c r="H126" s="6" t="n"/>
      <c r="I126" s="7" t="n"/>
      <c r="J126" s="7" t="n"/>
      <c r="K126" s="9" t="n"/>
      <c r="L126" s="4" t="n"/>
      <c r="M126" s="4" t="n"/>
      <c r="N126" s="4" t="n"/>
      <c r="O126" s="139" t="n"/>
      <c r="P126" s="4" t="n"/>
      <c r="Q126" s="4" t="n"/>
      <c r="R126" s="4" t="n"/>
      <c r="S126" s="13" t="n"/>
      <c r="T126" s="140" t="n"/>
      <c r="U126" s="140" t="n"/>
      <c r="V126" s="4" t="n"/>
      <c r="W126" s="15" t="n"/>
      <c r="X126" s="15" t="n"/>
    </row>
    <row r="127" ht="60" customHeight="1">
      <c r="A127" s="4" t="inlineStr">
        <is>
          <t>쎄크</t>
        </is>
      </c>
      <c r="B127" s="137" t="inlineStr">
        <is>
          <t>081180</t>
        </is>
      </c>
      <c r="C127" s="138" t="n"/>
      <c r="D127" s="138" t="n"/>
      <c r="E127" s="138" t="n"/>
      <c r="F127" s="138" t="n"/>
      <c r="G127" s="138" t="n"/>
      <c r="H127" s="6" t="n"/>
      <c r="I127" s="7" t="n"/>
      <c r="J127" s="7" t="n"/>
      <c r="K127" s="9" t="n"/>
      <c r="L127" s="4" t="n"/>
      <c r="M127" s="4" t="n"/>
      <c r="N127" s="4" t="n"/>
      <c r="O127" s="139" t="n"/>
      <c r="P127" s="4" t="n"/>
      <c r="Q127" s="4" t="n"/>
      <c r="R127" s="4" t="n"/>
      <c r="S127" s="13" t="n"/>
      <c r="T127" s="140" t="n"/>
      <c r="U127" s="140" t="n"/>
      <c r="V127" s="4" t="n"/>
      <c r="W127" s="15" t="n"/>
      <c r="X127" s="15" t="n"/>
    </row>
    <row r="128" ht="60" customHeight="1">
      <c r="A128" s="4" t="inlineStr">
        <is>
          <t>토모큐브</t>
        </is>
      </c>
      <c r="B128" s="137" t="inlineStr">
        <is>
          <t>475960</t>
        </is>
      </c>
      <c r="C128" s="138" t="n"/>
      <c r="D128" s="138" t="n"/>
      <c r="E128" s="138" t="n"/>
      <c r="F128" s="138" t="n"/>
      <c r="G128" s="138" t="n"/>
      <c r="H128" s="6" t="n"/>
      <c r="I128" s="7" t="n"/>
      <c r="J128" s="7" t="n"/>
      <c r="K128" s="9" t="n"/>
      <c r="L128" s="4" t="n"/>
      <c r="M128" s="4" t="n"/>
      <c r="N128" s="4" t="n"/>
      <c r="O128" s="139" t="n"/>
      <c r="P128" s="4" t="n"/>
      <c r="Q128" s="4" t="n"/>
      <c r="R128" s="4" t="n"/>
      <c r="S128" s="13" t="n"/>
      <c r="T128" s="140" t="n"/>
      <c r="U128" s="140" t="n"/>
      <c r="V128" s="4" t="n"/>
      <c r="W128" s="15" t="n"/>
      <c r="X128" s="15" t="n"/>
    </row>
    <row r="129" ht="60" customHeight="1">
      <c r="A129" s="4" t="inlineStr">
        <is>
          <t>제너셈</t>
        </is>
      </c>
      <c r="B129" s="137" t="inlineStr">
        <is>
          <t>217190</t>
        </is>
      </c>
      <c r="C129" s="138" t="n"/>
      <c r="D129" s="138" t="n"/>
      <c r="E129" s="138" t="n"/>
      <c r="F129" s="138" t="n"/>
      <c r="G129" s="138" t="n"/>
      <c r="H129" s="6" t="n"/>
      <c r="I129" s="7" t="n"/>
      <c r="J129" s="7" t="n"/>
      <c r="K129" s="9" t="n"/>
      <c r="L129" s="4" t="n"/>
      <c r="M129" s="4" t="n"/>
      <c r="N129" s="4" t="n"/>
      <c r="O129" s="139" t="n"/>
      <c r="P129" s="4" t="n"/>
      <c r="Q129" s="4" t="n"/>
      <c r="R129" s="4" t="n"/>
      <c r="S129" s="13" t="n"/>
      <c r="T129" s="140" t="n"/>
      <c r="U129" s="140" t="n"/>
      <c r="V129" s="4" t="n"/>
      <c r="W129" s="15" t="n"/>
      <c r="X129" s="15" t="n"/>
    </row>
    <row r="130" ht="60" customHeight="1">
      <c r="A130" s="4" t="inlineStr">
        <is>
          <t>레이저쎌</t>
        </is>
      </c>
      <c r="B130" s="137" t="inlineStr">
        <is>
          <t>412350</t>
        </is>
      </c>
      <c r="C130" s="138" t="n"/>
      <c r="D130" s="138" t="n"/>
      <c r="E130" s="138" t="n"/>
      <c r="F130" s="138" t="n"/>
      <c r="G130" s="138" t="n"/>
      <c r="H130" s="6" t="n"/>
      <c r="I130" s="7" t="n"/>
      <c r="J130" s="7" t="n"/>
      <c r="K130" s="9" t="n"/>
      <c r="L130" s="4" t="n"/>
      <c r="M130" s="4" t="n"/>
      <c r="N130" s="4" t="n"/>
      <c r="O130" s="139" t="n"/>
      <c r="P130" s="4" t="n"/>
      <c r="Q130" s="4" t="n"/>
      <c r="R130" s="4" t="n"/>
      <c r="S130" s="13" t="n"/>
      <c r="T130" s="140" t="n"/>
      <c r="U130" s="140" t="n"/>
      <c r="V130" s="4" t="n"/>
      <c r="W130" s="15" t="n"/>
      <c r="X130" s="15" t="n"/>
    </row>
    <row r="131" ht="60" customHeight="1">
      <c r="A131" s="4" t="inlineStr">
        <is>
          <t>로체시스템즈</t>
        </is>
      </c>
      <c r="B131" s="137" t="inlineStr">
        <is>
          <t>071280</t>
        </is>
      </c>
      <c r="C131" s="138" t="n"/>
      <c r="D131" s="138" t="n"/>
      <c r="E131" s="138" t="n"/>
      <c r="F131" s="138" t="n"/>
      <c r="G131" s="138" t="n"/>
      <c r="H131" s="6" t="n"/>
      <c r="I131" s="7" t="n"/>
      <c r="J131" s="7" t="n"/>
      <c r="K131" s="9" t="n"/>
      <c r="L131" s="4" t="n"/>
      <c r="M131" s="4" t="n"/>
      <c r="N131" s="4" t="n"/>
      <c r="O131" s="139" t="n"/>
      <c r="P131" s="4" t="n"/>
      <c r="Q131" s="4" t="n"/>
      <c r="R131" s="4" t="n"/>
      <c r="S131" s="13" t="n"/>
      <c r="T131" s="140" t="n"/>
      <c r="U131" s="140" t="n"/>
      <c r="V131" s="4" t="n"/>
      <c r="W131" s="15" t="n"/>
      <c r="X131" s="15" t="n"/>
    </row>
    <row r="132" ht="60" customHeight="1">
      <c r="A132" s="4" t="inlineStr">
        <is>
          <t>디바이스</t>
        </is>
      </c>
      <c r="B132" s="137" t="inlineStr">
        <is>
          <t>187870</t>
        </is>
      </c>
      <c r="C132" s="138" t="n"/>
      <c r="D132" s="138" t="n"/>
      <c r="E132" s="138" t="n"/>
      <c r="F132" s="138" t="n"/>
      <c r="G132" s="138" t="n"/>
      <c r="H132" s="6" t="n"/>
      <c r="I132" s="7" t="n"/>
      <c r="J132" s="7" t="n"/>
      <c r="K132" s="9" t="n"/>
      <c r="L132" s="4" t="n"/>
      <c r="M132" s="4" t="n"/>
      <c r="N132" s="4" t="n"/>
      <c r="O132" s="139" t="n"/>
      <c r="P132" s="4" t="n"/>
      <c r="Q132" s="4" t="n"/>
      <c r="R132" s="4" t="n"/>
      <c r="S132" s="13" t="n"/>
      <c r="T132" s="140" t="n"/>
      <c r="U132" s="140" t="n"/>
      <c r="V132" s="4" t="n"/>
      <c r="W132" s="15" t="n"/>
      <c r="X132" s="15" t="n"/>
    </row>
    <row r="133" ht="60" customHeight="1">
      <c r="A133" s="4" t="inlineStr">
        <is>
          <t>타이거일렉</t>
        </is>
      </c>
      <c r="B133" s="137" t="inlineStr">
        <is>
          <t>219130</t>
        </is>
      </c>
      <c r="C133" s="138" t="n"/>
      <c r="D133" s="138" t="n"/>
      <c r="E133" s="138" t="n"/>
      <c r="F133" s="138" t="n"/>
      <c r="G133" s="138" t="n"/>
      <c r="H133" s="6" t="n"/>
      <c r="I133" s="7" t="n"/>
      <c r="J133" s="7" t="n"/>
      <c r="K133" s="9" t="n"/>
      <c r="L133" s="4" t="n"/>
      <c r="M133" s="4" t="n"/>
      <c r="N133" s="4" t="n"/>
      <c r="O133" s="139" t="n"/>
      <c r="P133" s="4" t="n"/>
      <c r="Q133" s="4" t="n"/>
      <c r="R133" s="4" t="n"/>
      <c r="S133" s="13" t="n"/>
      <c r="T133" s="140" t="n"/>
      <c r="U133" s="140" t="n"/>
      <c r="V133" s="4" t="n"/>
      <c r="W133" s="15" t="n"/>
      <c r="X133" s="15" t="n"/>
    </row>
    <row r="134" ht="60" customHeight="1">
      <c r="A134" s="4" t="inlineStr">
        <is>
          <t>메가터치</t>
        </is>
      </c>
      <c r="B134" s="137" t="inlineStr">
        <is>
          <t>446540</t>
        </is>
      </c>
      <c r="C134" s="138" t="n"/>
      <c r="D134" s="138" t="n"/>
      <c r="E134" s="138" t="n"/>
      <c r="F134" s="138" t="n"/>
      <c r="G134" s="138" t="n"/>
      <c r="H134" s="6" t="n"/>
      <c r="I134" s="7" t="n"/>
      <c r="J134" s="7" t="n"/>
      <c r="K134" s="9" t="n"/>
      <c r="L134" s="4" t="n"/>
      <c r="M134" s="4" t="n"/>
      <c r="N134" s="4" t="n"/>
      <c r="O134" s="139" t="n"/>
      <c r="P134" s="4" t="n"/>
      <c r="Q134" s="4" t="n"/>
      <c r="R134" s="4" t="n"/>
      <c r="S134" s="13" t="n"/>
      <c r="T134" s="140" t="n"/>
      <c r="U134" s="140" t="n"/>
      <c r="V134" s="4" t="n"/>
      <c r="W134" s="15" t="n"/>
      <c r="X134" s="15" t="n"/>
    </row>
    <row r="135" ht="60" customHeight="1">
      <c r="A135" s="4" t="inlineStr">
        <is>
          <t>마이크로투나노</t>
        </is>
      </c>
      <c r="B135" s="137" t="inlineStr">
        <is>
          <t>424980</t>
        </is>
      </c>
      <c r="C135" s="138" t="n"/>
      <c r="D135" s="138" t="n"/>
      <c r="E135" s="138" t="n"/>
      <c r="F135" s="138" t="n"/>
      <c r="G135" s="138" t="n"/>
      <c r="H135" s="6" t="n"/>
      <c r="I135" s="7" t="n"/>
      <c r="J135" s="7" t="n"/>
      <c r="K135" s="9" t="n"/>
      <c r="L135" s="4" t="n"/>
      <c r="M135" s="4" t="n"/>
      <c r="N135" s="4" t="n"/>
      <c r="O135" s="139" t="n"/>
      <c r="P135" s="4" t="n"/>
      <c r="Q135" s="4" t="n"/>
      <c r="R135" s="4" t="n"/>
      <c r="S135" s="13" t="n"/>
      <c r="T135" s="140" t="n"/>
      <c r="U135" s="140" t="n"/>
      <c r="V135" s="4" t="n"/>
      <c r="W135" s="15" t="n"/>
      <c r="X135" s="15" t="n"/>
    </row>
    <row r="136" ht="60" customHeight="1">
      <c r="A136" s="4" t="inlineStr">
        <is>
          <t>덕산테코피아</t>
        </is>
      </c>
      <c r="B136" s="137" t="inlineStr">
        <is>
          <t>317330</t>
        </is>
      </c>
      <c r="C136" s="138" t="n"/>
      <c r="D136" s="138" t="n"/>
      <c r="E136" s="138" t="n"/>
      <c r="F136" s="138" t="n"/>
      <c r="G136" s="138" t="n"/>
      <c r="H136" s="6" t="n"/>
      <c r="I136" s="7" t="n"/>
      <c r="J136" s="7" t="n"/>
      <c r="K136" s="9" t="n"/>
      <c r="L136" s="4" t="n"/>
      <c r="M136" s="4" t="n"/>
      <c r="N136" s="4" t="n"/>
      <c r="O136" s="139" t="n"/>
      <c r="P136" s="4" t="n"/>
      <c r="Q136" s="4" t="n"/>
      <c r="R136" s="4" t="n"/>
      <c r="S136" s="13" t="n"/>
      <c r="T136" s="140" t="n"/>
      <c r="U136" s="140" t="n"/>
      <c r="V136" s="4" t="n"/>
      <c r="W136" s="15" t="n"/>
      <c r="X136" s="15" t="n"/>
    </row>
    <row r="137" ht="60" customHeight="1">
      <c r="A137" s="4" t="inlineStr">
        <is>
          <t>티이엠씨</t>
        </is>
      </c>
      <c r="B137" s="137" t="inlineStr">
        <is>
          <t>425040</t>
        </is>
      </c>
      <c r="C137" s="138" t="n"/>
      <c r="D137" s="138" t="n"/>
      <c r="E137" s="138" t="n"/>
      <c r="F137" s="138" t="n"/>
      <c r="G137" s="138" t="n"/>
      <c r="H137" s="6" t="n"/>
      <c r="I137" s="7" t="n"/>
      <c r="J137" s="7" t="n"/>
      <c r="K137" s="9" t="n"/>
      <c r="L137" s="4" t="n"/>
      <c r="M137" s="4" t="n"/>
      <c r="N137" s="4" t="n"/>
      <c r="O137" s="139" t="n"/>
      <c r="P137" s="4" t="n"/>
      <c r="Q137" s="4" t="n"/>
      <c r="R137" s="4" t="n"/>
      <c r="S137" s="13" t="n"/>
      <c r="T137" s="140" t="n"/>
      <c r="U137" s="140" t="n"/>
      <c r="V137" s="4" t="n"/>
      <c r="W137" s="15" t="n"/>
      <c r="X137" s="15" t="n"/>
    </row>
    <row r="138" ht="60" customHeight="1">
      <c r="A138" s="4" t="inlineStr">
        <is>
          <t>천보</t>
        </is>
      </c>
      <c r="B138" s="137" t="inlineStr">
        <is>
          <t>278280</t>
        </is>
      </c>
      <c r="C138" s="138" t="n"/>
      <c r="D138" s="138" t="n"/>
      <c r="E138" s="138" t="n"/>
      <c r="F138" s="138" t="n"/>
      <c r="G138" s="138" t="n"/>
      <c r="H138" s="6" t="n"/>
      <c r="I138" s="7" t="n"/>
      <c r="J138" s="7" t="n"/>
      <c r="K138" s="9" t="n"/>
      <c r="L138" s="4" t="n"/>
      <c r="M138" s="4" t="n"/>
      <c r="N138" s="4" t="n"/>
      <c r="O138" s="139" t="n"/>
      <c r="P138" s="4" t="n"/>
      <c r="Q138" s="4" t="n"/>
      <c r="R138" s="4" t="n"/>
      <c r="S138" s="13" t="n"/>
      <c r="T138" s="140" t="n"/>
      <c r="U138" s="140" t="n"/>
      <c r="V138" s="4" t="n"/>
      <c r="W138" s="15" t="n"/>
      <c r="X138" s="15" t="n"/>
    </row>
    <row r="139" ht="60" customHeight="1">
      <c r="A139" s="4" t="inlineStr">
        <is>
          <t>삼화콘덴서</t>
        </is>
      </c>
      <c r="B139" s="137" t="inlineStr">
        <is>
          <t>001820</t>
        </is>
      </c>
      <c r="C139" s="138" t="n"/>
      <c r="D139" s="138" t="n"/>
      <c r="E139" s="138" t="n"/>
      <c r="F139" s="138" t="n"/>
      <c r="G139" s="138" t="n"/>
      <c r="H139" s="6" t="n"/>
      <c r="I139" s="7" t="n"/>
      <c r="J139" s="7" t="n"/>
      <c r="K139" s="9" t="n"/>
      <c r="L139" s="4" t="n"/>
      <c r="M139" s="4" t="n"/>
      <c r="N139" s="4" t="n"/>
      <c r="O139" s="139" t="n"/>
      <c r="P139" s="4" t="n"/>
      <c r="Q139" s="4" t="n"/>
      <c r="R139" s="4" t="n"/>
      <c r="S139" s="13" t="n"/>
      <c r="T139" s="140" t="n"/>
      <c r="U139" s="140" t="n"/>
      <c r="V139" s="4" t="n"/>
      <c r="W139" s="15" t="n"/>
      <c r="X139" s="15" t="n"/>
    </row>
    <row r="140" ht="60" customHeight="1">
      <c r="A140" s="4" t="inlineStr">
        <is>
          <t>아바텍</t>
        </is>
      </c>
      <c r="B140" s="137" t="inlineStr">
        <is>
          <t>149950</t>
        </is>
      </c>
      <c r="C140" s="138" t="n"/>
      <c r="D140" s="138" t="n"/>
      <c r="E140" s="138" t="n"/>
      <c r="F140" s="138" t="n"/>
      <c r="G140" s="138" t="n"/>
      <c r="H140" s="6" t="n"/>
      <c r="I140" s="7" t="n"/>
      <c r="J140" s="7" t="n"/>
      <c r="K140" s="9" t="n"/>
      <c r="L140" s="4" t="n"/>
      <c r="M140" s="4" t="n"/>
      <c r="N140" s="4" t="n"/>
      <c r="O140" s="139" t="n"/>
      <c r="P140" s="4" t="n"/>
      <c r="Q140" s="4" t="n"/>
      <c r="R140" s="4" t="n"/>
      <c r="S140" s="13" t="n"/>
      <c r="T140" s="140" t="n"/>
      <c r="U140" s="140" t="n"/>
      <c r="V140" s="4" t="n"/>
      <c r="W140" s="15" t="n"/>
      <c r="X140" s="15" t="n"/>
    </row>
    <row r="141" ht="60" customHeight="1">
      <c r="A141" s="4" t="inlineStr">
        <is>
          <t>대주전자재료</t>
        </is>
      </c>
      <c r="B141" s="137" t="inlineStr">
        <is>
          <t>078600</t>
        </is>
      </c>
      <c r="C141" s="138" t="n"/>
      <c r="D141" s="138" t="n"/>
      <c r="E141" s="138" t="n"/>
      <c r="F141" s="138" t="n"/>
      <c r="G141" s="138" t="n"/>
      <c r="H141" s="6" t="n"/>
      <c r="I141" s="7" t="n"/>
      <c r="J141" s="7" t="n"/>
      <c r="K141" s="9" t="n"/>
      <c r="L141" s="4" t="n"/>
      <c r="M141" s="4" t="n"/>
      <c r="N141" s="4" t="n"/>
      <c r="O141" s="139" t="n"/>
      <c r="P141" s="4" t="n"/>
      <c r="Q141" s="4" t="n"/>
      <c r="R141" s="4" t="n"/>
      <c r="S141" s="13" t="n"/>
      <c r="T141" s="140" t="n"/>
      <c r="U141" s="140" t="n"/>
      <c r="V141" s="4" t="n"/>
      <c r="W141" s="15" t="n"/>
      <c r="X141" s="15" t="n"/>
    </row>
    <row r="142" ht="60" customHeight="1">
      <c r="A142" s="4" t="inlineStr">
        <is>
          <t>코스모신소재</t>
        </is>
      </c>
      <c r="B142" s="137" t="inlineStr">
        <is>
          <t>005070</t>
        </is>
      </c>
      <c r="C142" s="138" t="n"/>
      <c r="D142" s="138" t="n"/>
      <c r="E142" s="138" t="n"/>
      <c r="F142" s="138" t="n"/>
      <c r="G142" s="138" t="n"/>
      <c r="H142" s="6" t="n"/>
      <c r="I142" s="7" t="n"/>
      <c r="J142" s="7" t="n"/>
      <c r="K142" s="9" t="n"/>
      <c r="L142" s="4" t="n"/>
      <c r="M142" s="4" t="n"/>
      <c r="N142" s="4" t="n"/>
      <c r="O142" s="139" t="n"/>
      <c r="P142" s="4" t="n"/>
      <c r="Q142" s="4" t="n"/>
      <c r="R142" s="4" t="n"/>
      <c r="S142" s="13" t="n"/>
      <c r="T142" s="140" t="n"/>
      <c r="U142" s="140" t="n"/>
      <c r="V142" s="4" t="n"/>
      <c r="W142" s="15" t="n"/>
      <c r="X142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2026-10-20T05:38:04Z</dcterms:created>
  <dcterms:modified xmlns:dcterms="http://purl.org/dc/terms/" xmlns:xsi="http://www.w3.org/2001/XMLSchema-instance" xsi:type="dcterms:W3CDTF">2026-10-20T05:38:05Z</dcterms:modified>
  <cp:lastModifiedBy>Sung Hoon Moon</cp:lastModifiedBy>
</cp:coreProperties>
</file>