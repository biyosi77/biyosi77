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3cf5d171b54be49/바탕 화면/"/>
    </mc:Choice>
  </mc:AlternateContent>
  <xr:revisionPtr revIDLastSave="42" documentId="11_57A8DF7B6DD562CE5FF9641961F192FC900C5176" xr6:coauthVersionLast="47" xr6:coauthVersionMax="47" xr10:uidLastSave="{66622426-779C-4D15-8840-B2C86405D329}"/>
  <bookViews>
    <workbookView xWindow="28680" yWindow="-120" windowWidth="29040" windowHeight="15720" xr2:uid="{00000000-000D-0000-FFFF-FFFF00000000}"/>
  </bookViews>
  <sheets>
    <sheet name="2027 밸류에이션" sheetId="1" r:id="rId1"/>
    <sheet name="원자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F15" i="1"/>
  <c r="N15" i="1"/>
  <c r="J15" i="1"/>
  <c r="M15" i="1" s="1"/>
  <c r="G15" i="1"/>
  <c r="L15" i="1" s="1"/>
  <c r="D15" i="1"/>
  <c r="E15" i="1" s="1"/>
  <c r="I14" i="1"/>
  <c r="F14" i="1"/>
  <c r="N14" i="1"/>
  <c r="J14" i="1"/>
  <c r="G14" i="1"/>
  <c r="L14" i="1" s="1"/>
  <c r="D14" i="1"/>
  <c r="E14" i="1" s="1"/>
  <c r="I13" i="1"/>
  <c r="F13" i="1"/>
  <c r="N13" i="1"/>
  <c r="J13" i="1"/>
  <c r="M13" i="1" s="1"/>
  <c r="G13" i="1"/>
  <c r="L13" i="1" s="1"/>
  <c r="D13" i="1"/>
  <c r="E13" i="1" s="1"/>
  <c r="I25" i="1"/>
  <c r="F25" i="1"/>
  <c r="N25" i="1"/>
  <c r="J25" i="1"/>
  <c r="G25" i="1"/>
  <c r="D25" i="1"/>
  <c r="E25" i="1" s="1"/>
  <c r="I12" i="1"/>
  <c r="F12" i="1"/>
  <c r="N12" i="1"/>
  <c r="J12" i="1"/>
  <c r="G12" i="1"/>
  <c r="D12" i="1"/>
  <c r="E12" i="1" s="1"/>
  <c r="I39" i="1"/>
  <c r="F39" i="1"/>
  <c r="N39" i="1"/>
  <c r="J39" i="1"/>
  <c r="G39" i="1"/>
  <c r="D39" i="1"/>
  <c r="E39" i="1" s="1"/>
  <c r="I91" i="1"/>
  <c r="F91" i="1"/>
  <c r="N91" i="1"/>
  <c r="J91" i="1"/>
  <c r="G91" i="1"/>
  <c r="D91" i="1"/>
  <c r="E91" i="1" s="1"/>
  <c r="I48" i="1"/>
  <c r="F48" i="1"/>
  <c r="N48" i="1"/>
  <c r="J48" i="1"/>
  <c r="G48" i="1"/>
  <c r="D48" i="1"/>
  <c r="E48" i="1" s="1"/>
  <c r="I68" i="1"/>
  <c r="F68" i="1"/>
  <c r="N68" i="1"/>
  <c r="J68" i="1"/>
  <c r="G68" i="1"/>
  <c r="D68" i="1"/>
  <c r="E68" i="1" s="1"/>
  <c r="I30" i="1"/>
  <c r="F30" i="1"/>
  <c r="N30" i="1"/>
  <c r="J30" i="1"/>
  <c r="G30" i="1"/>
  <c r="D30" i="1"/>
  <c r="E30" i="1" s="1"/>
  <c r="I65" i="1"/>
  <c r="F65" i="1"/>
  <c r="N65" i="1"/>
  <c r="J65" i="1"/>
  <c r="G65" i="1"/>
  <c r="D65" i="1"/>
  <c r="E65" i="1" s="1"/>
  <c r="I71" i="1"/>
  <c r="F71" i="1"/>
  <c r="N71" i="1"/>
  <c r="J71" i="1"/>
  <c r="G71" i="1"/>
  <c r="D71" i="1"/>
  <c r="E71" i="1" s="1"/>
  <c r="I24" i="1"/>
  <c r="F24" i="1"/>
  <c r="N24" i="1"/>
  <c r="J24" i="1"/>
  <c r="G24" i="1"/>
  <c r="D24" i="1"/>
  <c r="E24" i="1" s="1"/>
  <c r="I99" i="1"/>
  <c r="F99" i="1"/>
  <c r="N99" i="1"/>
  <c r="J99" i="1"/>
  <c r="G99" i="1"/>
  <c r="D99" i="1"/>
  <c r="E99" i="1" s="1"/>
  <c r="I11" i="1"/>
  <c r="F11" i="1"/>
  <c r="N11" i="1"/>
  <c r="J11" i="1"/>
  <c r="G11" i="1"/>
  <c r="D11" i="1"/>
  <c r="E11" i="1" s="1"/>
  <c r="I85" i="1"/>
  <c r="F85" i="1"/>
  <c r="N85" i="1"/>
  <c r="J85" i="1"/>
  <c r="G85" i="1"/>
  <c r="D85" i="1"/>
  <c r="E85" i="1" s="1"/>
  <c r="I55" i="1"/>
  <c r="F55" i="1"/>
  <c r="N55" i="1"/>
  <c r="J55" i="1"/>
  <c r="G55" i="1"/>
  <c r="D55" i="1"/>
  <c r="E55" i="1" s="1"/>
  <c r="I32" i="1"/>
  <c r="F32" i="1"/>
  <c r="N32" i="1"/>
  <c r="J32" i="1"/>
  <c r="G32" i="1"/>
  <c r="D32" i="1"/>
  <c r="E32" i="1" s="1"/>
  <c r="I86" i="1"/>
  <c r="F86" i="1"/>
  <c r="N86" i="1"/>
  <c r="J86" i="1"/>
  <c r="G86" i="1"/>
  <c r="D86" i="1"/>
  <c r="E86" i="1" s="1"/>
  <c r="I47" i="1"/>
  <c r="F47" i="1"/>
  <c r="N47" i="1"/>
  <c r="J47" i="1"/>
  <c r="G47" i="1"/>
  <c r="D47" i="1"/>
  <c r="E47" i="1" s="1"/>
  <c r="I93" i="1"/>
  <c r="F93" i="1"/>
  <c r="N93" i="1"/>
  <c r="J93" i="1"/>
  <c r="G93" i="1"/>
  <c r="D93" i="1"/>
  <c r="E93" i="1" s="1"/>
  <c r="I97" i="1"/>
  <c r="F97" i="1"/>
  <c r="N97" i="1"/>
  <c r="J97" i="1"/>
  <c r="G97" i="1"/>
  <c r="D97" i="1"/>
  <c r="E97" i="1" s="1"/>
  <c r="I60" i="1"/>
  <c r="F60" i="1"/>
  <c r="N60" i="1"/>
  <c r="J60" i="1"/>
  <c r="G60" i="1"/>
  <c r="D60" i="1"/>
  <c r="E60" i="1" s="1"/>
  <c r="I70" i="1"/>
  <c r="F70" i="1"/>
  <c r="N70" i="1"/>
  <c r="J70" i="1"/>
  <c r="G70" i="1"/>
  <c r="D70" i="1"/>
  <c r="E70" i="1" s="1"/>
  <c r="I58" i="1"/>
  <c r="F58" i="1"/>
  <c r="N58" i="1"/>
  <c r="J58" i="1"/>
  <c r="G58" i="1"/>
  <c r="D58" i="1"/>
  <c r="E58" i="1" s="1"/>
  <c r="I35" i="1"/>
  <c r="F35" i="1"/>
  <c r="N35" i="1"/>
  <c r="J35" i="1"/>
  <c r="G35" i="1"/>
  <c r="D35" i="1"/>
  <c r="E35" i="1" s="1"/>
  <c r="I73" i="1"/>
  <c r="F73" i="1"/>
  <c r="N73" i="1"/>
  <c r="J73" i="1"/>
  <c r="G73" i="1"/>
  <c r="D73" i="1"/>
  <c r="E73" i="1" s="1"/>
  <c r="I77" i="1"/>
  <c r="F77" i="1"/>
  <c r="N77" i="1"/>
  <c r="J77" i="1"/>
  <c r="G77" i="1"/>
  <c r="D77" i="1"/>
  <c r="E77" i="1" s="1"/>
  <c r="I16" i="1"/>
  <c r="F16" i="1"/>
  <c r="N16" i="1"/>
  <c r="J16" i="1"/>
  <c r="G16" i="1"/>
  <c r="D16" i="1"/>
  <c r="E16" i="1" s="1"/>
  <c r="I66" i="1"/>
  <c r="F66" i="1"/>
  <c r="N66" i="1"/>
  <c r="J66" i="1"/>
  <c r="G66" i="1"/>
  <c r="D66" i="1"/>
  <c r="E66" i="1" s="1"/>
  <c r="I27" i="1"/>
  <c r="F27" i="1"/>
  <c r="N27" i="1"/>
  <c r="J27" i="1"/>
  <c r="G27" i="1"/>
  <c r="D27" i="1"/>
  <c r="E27" i="1" s="1"/>
  <c r="I84" i="1"/>
  <c r="F84" i="1"/>
  <c r="N84" i="1"/>
  <c r="J84" i="1"/>
  <c r="G84" i="1"/>
  <c r="D84" i="1"/>
  <c r="E84" i="1" s="1"/>
  <c r="I69" i="1"/>
  <c r="F69" i="1"/>
  <c r="N69" i="1"/>
  <c r="J69" i="1"/>
  <c r="G69" i="1"/>
  <c r="D69" i="1"/>
  <c r="E69" i="1" s="1"/>
  <c r="I46" i="1"/>
  <c r="F46" i="1"/>
  <c r="N46" i="1"/>
  <c r="J46" i="1"/>
  <c r="G46" i="1"/>
  <c r="D46" i="1"/>
  <c r="E46" i="1" s="1"/>
  <c r="I95" i="1"/>
  <c r="F95" i="1"/>
  <c r="N95" i="1"/>
  <c r="J95" i="1"/>
  <c r="G95" i="1"/>
  <c r="D95" i="1"/>
  <c r="E95" i="1" s="1"/>
  <c r="I10" i="1"/>
  <c r="F10" i="1"/>
  <c r="N10" i="1"/>
  <c r="J10" i="1"/>
  <c r="G10" i="1"/>
  <c r="D10" i="1"/>
  <c r="E10" i="1" s="1"/>
  <c r="I74" i="1"/>
  <c r="F74" i="1"/>
  <c r="N74" i="1"/>
  <c r="J74" i="1"/>
  <c r="G74" i="1"/>
  <c r="D74" i="1"/>
  <c r="E74" i="1" s="1"/>
  <c r="I17" i="1"/>
  <c r="F17" i="1"/>
  <c r="N17" i="1"/>
  <c r="J17" i="1"/>
  <c r="G17" i="1"/>
  <c r="D17" i="1"/>
  <c r="E17" i="1" s="1"/>
  <c r="I22" i="1"/>
  <c r="F22" i="1"/>
  <c r="N22" i="1"/>
  <c r="J22" i="1"/>
  <c r="G22" i="1"/>
  <c r="D22" i="1"/>
  <c r="E22" i="1" s="1"/>
  <c r="I45" i="1"/>
  <c r="F45" i="1"/>
  <c r="N45" i="1"/>
  <c r="J45" i="1"/>
  <c r="G45" i="1"/>
  <c r="D45" i="1"/>
  <c r="E45" i="1" s="1"/>
  <c r="I38" i="1"/>
  <c r="F38" i="1"/>
  <c r="N38" i="1"/>
  <c r="J38" i="1"/>
  <c r="G38" i="1"/>
  <c r="D38" i="1"/>
  <c r="E38" i="1" s="1"/>
  <c r="I54" i="1"/>
  <c r="F54" i="1"/>
  <c r="N54" i="1"/>
  <c r="J54" i="1"/>
  <c r="G54" i="1"/>
  <c r="D54" i="1"/>
  <c r="E54" i="1" s="1"/>
  <c r="I51" i="1"/>
  <c r="F51" i="1"/>
  <c r="N51" i="1"/>
  <c r="J51" i="1"/>
  <c r="G51" i="1"/>
  <c r="D51" i="1"/>
  <c r="E51" i="1" s="1"/>
  <c r="I23" i="1"/>
  <c r="F23" i="1"/>
  <c r="N23" i="1"/>
  <c r="J23" i="1"/>
  <c r="G23" i="1"/>
  <c r="D23" i="1"/>
  <c r="E23" i="1" s="1"/>
  <c r="I36" i="1"/>
  <c r="F36" i="1"/>
  <c r="N36" i="1"/>
  <c r="J36" i="1"/>
  <c r="G36" i="1"/>
  <c r="D36" i="1"/>
  <c r="E36" i="1" s="1"/>
  <c r="I83" i="1"/>
  <c r="F83" i="1"/>
  <c r="N83" i="1"/>
  <c r="J83" i="1"/>
  <c r="G83" i="1"/>
  <c r="D83" i="1"/>
  <c r="E83" i="1" s="1"/>
  <c r="I56" i="1"/>
  <c r="F56" i="1"/>
  <c r="N56" i="1"/>
  <c r="J56" i="1"/>
  <c r="G56" i="1"/>
  <c r="D56" i="1"/>
  <c r="E56" i="1" s="1"/>
  <c r="I37" i="1"/>
  <c r="F37" i="1"/>
  <c r="N37" i="1"/>
  <c r="J37" i="1"/>
  <c r="G37" i="1"/>
  <c r="D37" i="1"/>
  <c r="E37" i="1" s="1"/>
  <c r="I75" i="1"/>
  <c r="F75" i="1"/>
  <c r="N75" i="1"/>
  <c r="J75" i="1"/>
  <c r="G75" i="1"/>
  <c r="D75" i="1"/>
  <c r="E75" i="1" s="1"/>
  <c r="I28" i="1"/>
  <c r="F28" i="1"/>
  <c r="N28" i="1"/>
  <c r="J28" i="1"/>
  <c r="G28" i="1"/>
  <c r="D28" i="1"/>
  <c r="E28" i="1" s="1"/>
  <c r="I43" i="1"/>
  <c r="F43" i="1"/>
  <c r="N43" i="1"/>
  <c r="J43" i="1"/>
  <c r="G43" i="1"/>
  <c r="D43" i="1"/>
  <c r="E43" i="1" s="1"/>
  <c r="I33" i="1"/>
  <c r="F33" i="1"/>
  <c r="N33" i="1"/>
  <c r="J33" i="1"/>
  <c r="G33" i="1"/>
  <c r="D33" i="1"/>
  <c r="E33" i="1" s="1"/>
  <c r="I63" i="1"/>
  <c r="F63" i="1"/>
  <c r="N63" i="1"/>
  <c r="J63" i="1"/>
  <c r="G63" i="1"/>
  <c r="D63" i="1"/>
  <c r="E63" i="1" s="1"/>
  <c r="I20" i="1"/>
  <c r="F20" i="1"/>
  <c r="N20" i="1"/>
  <c r="J20" i="1"/>
  <c r="G20" i="1"/>
  <c r="D20" i="1"/>
  <c r="E20" i="1" s="1"/>
  <c r="I61" i="1"/>
  <c r="F61" i="1"/>
  <c r="N61" i="1"/>
  <c r="J61" i="1"/>
  <c r="G61" i="1"/>
  <c r="D61" i="1"/>
  <c r="E61" i="1" s="1"/>
  <c r="I26" i="1"/>
  <c r="F26" i="1"/>
  <c r="N26" i="1"/>
  <c r="J26" i="1"/>
  <c r="G26" i="1"/>
  <c r="D26" i="1"/>
  <c r="E26" i="1" s="1"/>
  <c r="I81" i="1"/>
  <c r="F81" i="1"/>
  <c r="N81" i="1"/>
  <c r="J81" i="1"/>
  <c r="G81" i="1"/>
  <c r="D81" i="1"/>
  <c r="E81" i="1" s="1"/>
  <c r="I29" i="1"/>
  <c r="F29" i="1"/>
  <c r="N29" i="1"/>
  <c r="J29" i="1"/>
  <c r="G29" i="1"/>
  <c r="D29" i="1"/>
  <c r="E29" i="1" s="1"/>
  <c r="I52" i="1"/>
  <c r="F52" i="1"/>
  <c r="N52" i="1"/>
  <c r="J52" i="1"/>
  <c r="G52" i="1"/>
  <c r="D52" i="1"/>
  <c r="E52" i="1" s="1"/>
  <c r="I64" i="1"/>
  <c r="F64" i="1"/>
  <c r="N64" i="1"/>
  <c r="J64" i="1"/>
  <c r="G64" i="1"/>
  <c r="D64" i="1"/>
  <c r="E64" i="1" s="1"/>
  <c r="I92" i="1"/>
  <c r="F92" i="1"/>
  <c r="N92" i="1"/>
  <c r="J92" i="1"/>
  <c r="G92" i="1"/>
  <c r="D92" i="1"/>
  <c r="E92" i="1" s="1"/>
  <c r="I88" i="1"/>
  <c r="F88" i="1"/>
  <c r="N88" i="1"/>
  <c r="J88" i="1"/>
  <c r="G88" i="1"/>
  <c r="D88" i="1"/>
  <c r="E88" i="1" s="1"/>
  <c r="I21" i="1"/>
  <c r="F21" i="1"/>
  <c r="N21" i="1"/>
  <c r="J21" i="1"/>
  <c r="G21" i="1"/>
  <c r="D21" i="1"/>
  <c r="E21" i="1" s="1"/>
  <c r="I79" i="1"/>
  <c r="F79" i="1"/>
  <c r="N79" i="1"/>
  <c r="J79" i="1"/>
  <c r="G79" i="1"/>
  <c r="D79" i="1"/>
  <c r="E79" i="1" s="1"/>
  <c r="I34" i="1"/>
  <c r="F34" i="1"/>
  <c r="N34" i="1"/>
  <c r="J34" i="1"/>
  <c r="G34" i="1"/>
  <c r="D34" i="1"/>
  <c r="E34" i="1" s="1"/>
  <c r="I18" i="1"/>
  <c r="F18" i="1"/>
  <c r="N18" i="1"/>
  <c r="J18" i="1"/>
  <c r="G18" i="1"/>
  <c r="D18" i="1"/>
  <c r="E18" i="1" s="1"/>
  <c r="I82" i="1"/>
  <c r="F82" i="1"/>
  <c r="N82" i="1"/>
  <c r="J82" i="1"/>
  <c r="G82" i="1"/>
  <c r="D82" i="1"/>
  <c r="E82" i="1" s="1"/>
  <c r="I96" i="1"/>
  <c r="F96" i="1"/>
  <c r="N96" i="1"/>
  <c r="J96" i="1"/>
  <c r="G96" i="1"/>
  <c r="D96" i="1"/>
  <c r="E96" i="1" s="1"/>
  <c r="I42" i="1"/>
  <c r="F42" i="1"/>
  <c r="N42" i="1"/>
  <c r="J42" i="1"/>
  <c r="G42" i="1"/>
  <c r="D42" i="1"/>
  <c r="E42" i="1" s="1"/>
  <c r="I98" i="1"/>
  <c r="F98" i="1"/>
  <c r="N98" i="1"/>
  <c r="J98" i="1"/>
  <c r="G98" i="1"/>
  <c r="D98" i="1"/>
  <c r="E98" i="1" s="1"/>
  <c r="I80" i="1"/>
  <c r="F80" i="1"/>
  <c r="N80" i="1"/>
  <c r="J80" i="1"/>
  <c r="G80" i="1"/>
  <c r="D80" i="1"/>
  <c r="E80" i="1" s="1"/>
  <c r="I49" i="1"/>
  <c r="F49" i="1"/>
  <c r="N49" i="1"/>
  <c r="J49" i="1"/>
  <c r="G49" i="1"/>
  <c r="D49" i="1"/>
  <c r="E49" i="1" s="1"/>
  <c r="I90" i="1"/>
  <c r="F90" i="1"/>
  <c r="N90" i="1"/>
  <c r="J90" i="1"/>
  <c r="G90" i="1"/>
  <c r="D90" i="1"/>
  <c r="E90" i="1" s="1"/>
  <c r="I62" i="1"/>
  <c r="F62" i="1"/>
  <c r="N62" i="1"/>
  <c r="J62" i="1"/>
  <c r="G62" i="1"/>
  <c r="D62" i="1"/>
  <c r="E62" i="1" s="1"/>
  <c r="I59" i="1"/>
  <c r="F59" i="1"/>
  <c r="N59" i="1"/>
  <c r="J59" i="1"/>
  <c r="G59" i="1"/>
  <c r="D59" i="1"/>
  <c r="E59" i="1" s="1"/>
  <c r="I57" i="1"/>
  <c r="F57" i="1"/>
  <c r="N57" i="1"/>
  <c r="J57" i="1"/>
  <c r="G57" i="1"/>
  <c r="D57" i="1"/>
  <c r="E57" i="1" s="1"/>
  <c r="I44" i="1"/>
  <c r="F44" i="1"/>
  <c r="N44" i="1"/>
  <c r="J44" i="1"/>
  <c r="G44" i="1"/>
  <c r="D44" i="1"/>
  <c r="E44" i="1" s="1"/>
  <c r="I67" i="1"/>
  <c r="F67" i="1"/>
  <c r="N67" i="1"/>
  <c r="J67" i="1"/>
  <c r="G67" i="1"/>
  <c r="D67" i="1"/>
  <c r="E67" i="1" s="1"/>
  <c r="I19" i="1"/>
  <c r="F19" i="1"/>
  <c r="N19" i="1"/>
  <c r="J19" i="1"/>
  <c r="G19" i="1"/>
  <c r="D19" i="1"/>
  <c r="E19" i="1" s="1"/>
  <c r="I78" i="1"/>
  <c r="F78" i="1"/>
  <c r="N78" i="1"/>
  <c r="J78" i="1"/>
  <c r="G78" i="1"/>
  <c r="D78" i="1"/>
  <c r="E78" i="1" s="1"/>
  <c r="I87" i="1"/>
  <c r="F87" i="1"/>
  <c r="N87" i="1"/>
  <c r="J87" i="1"/>
  <c r="G87" i="1"/>
  <c r="D87" i="1"/>
  <c r="E87" i="1" s="1"/>
  <c r="I72" i="1"/>
  <c r="F72" i="1"/>
  <c r="N72" i="1"/>
  <c r="J72" i="1"/>
  <c r="G72" i="1"/>
  <c r="D72" i="1"/>
  <c r="E72" i="1" s="1"/>
  <c r="I31" i="1"/>
  <c r="F31" i="1"/>
  <c r="N31" i="1"/>
  <c r="J31" i="1"/>
  <c r="G31" i="1"/>
  <c r="D31" i="1"/>
  <c r="E31" i="1" s="1"/>
  <c r="I40" i="1"/>
  <c r="F40" i="1"/>
  <c r="N40" i="1"/>
  <c r="J40" i="1"/>
  <c r="G40" i="1"/>
  <c r="D40" i="1"/>
  <c r="E40" i="1" s="1"/>
  <c r="I53" i="1"/>
  <c r="F53" i="1"/>
  <c r="N53" i="1"/>
  <c r="J53" i="1"/>
  <c r="G53" i="1"/>
  <c r="D53" i="1"/>
  <c r="E53" i="1" s="1"/>
  <c r="I89" i="1"/>
  <c r="F89" i="1"/>
  <c r="N89" i="1"/>
  <c r="J89" i="1"/>
  <c r="G89" i="1"/>
  <c r="D89" i="1"/>
  <c r="E89" i="1" s="1"/>
  <c r="I94" i="1"/>
  <c r="F94" i="1"/>
  <c r="N94" i="1"/>
  <c r="J94" i="1"/>
  <c r="G94" i="1"/>
  <c r="D94" i="1"/>
  <c r="E94" i="1" s="1"/>
  <c r="I41" i="1"/>
  <c r="F41" i="1"/>
  <c r="N41" i="1"/>
  <c r="J41" i="1"/>
  <c r="G41" i="1"/>
  <c r="D41" i="1"/>
  <c r="E41" i="1" s="1"/>
  <c r="I76" i="1"/>
  <c r="F76" i="1"/>
  <c r="N76" i="1"/>
  <c r="J76" i="1"/>
  <c r="G76" i="1"/>
  <c r="D76" i="1"/>
  <c r="E76" i="1" s="1"/>
  <c r="I50" i="1"/>
  <c r="F50" i="1"/>
  <c r="N50" i="1"/>
  <c r="J50" i="1"/>
  <c r="G50" i="1"/>
  <c r="D50" i="1"/>
  <c r="E50" i="1" s="1"/>
  <c r="H27" i="1" l="1"/>
  <c r="H91" i="1"/>
  <c r="L30" i="1"/>
  <c r="K53" i="1"/>
  <c r="K19" i="1"/>
  <c r="K90" i="1"/>
  <c r="M66" i="1"/>
  <c r="L89" i="1"/>
  <c r="H89" i="1"/>
  <c r="H40" i="1"/>
  <c r="L93" i="1"/>
  <c r="K99" i="1"/>
  <c r="L69" i="1"/>
  <c r="M86" i="1"/>
  <c r="K91" i="1"/>
  <c r="H15" i="1"/>
  <c r="H17" i="1"/>
  <c r="H10" i="1"/>
  <c r="H84" i="1"/>
  <c r="H30" i="1"/>
  <c r="K83" i="1"/>
  <c r="K54" i="1"/>
  <c r="M91" i="1"/>
  <c r="K22" i="1"/>
  <c r="M49" i="1"/>
  <c r="L64" i="1"/>
  <c r="M31" i="1"/>
  <c r="L87" i="1"/>
  <c r="H87" i="1"/>
  <c r="K32" i="1"/>
  <c r="L95" i="1"/>
  <c r="K82" i="1"/>
  <c r="H81" i="1"/>
  <c r="K81" i="1"/>
  <c r="M54" i="1"/>
  <c r="L70" i="1"/>
  <c r="M98" i="1"/>
  <c r="K67" i="1"/>
  <c r="L36" i="1"/>
  <c r="K47" i="1"/>
  <c r="H99" i="1"/>
  <c r="H36" i="1"/>
  <c r="H51" i="1"/>
  <c r="K30" i="1"/>
  <c r="K48" i="1"/>
  <c r="K39" i="1"/>
  <c r="K76" i="1"/>
  <c r="H96" i="1"/>
  <c r="M64" i="1"/>
  <c r="K95" i="1"/>
  <c r="H69" i="1"/>
  <c r="L50" i="1"/>
  <c r="H19" i="1"/>
  <c r="L80" i="1"/>
  <c r="K98" i="1"/>
  <c r="K28" i="1"/>
  <c r="M65" i="1"/>
  <c r="L18" i="1"/>
  <c r="L40" i="1"/>
  <c r="M72" i="1"/>
  <c r="K87" i="1"/>
  <c r="H90" i="1"/>
  <c r="M80" i="1"/>
  <c r="K23" i="1"/>
  <c r="H93" i="1"/>
  <c r="H86" i="1"/>
  <c r="H42" i="1"/>
  <c r="H82" i="1"/>
  <c r="M10" i="1"/>
  <c r="K60" i="1"/>
  <c r="K93" i="1"/>
  <c r="K86" i="1"/>
  <c r="M52" i="1"/>
  <c r="M46" i="1"/>
  <c r="K50" i="1"/>
  <c r="K92" i="1"/>
  <c r="H43" i="1"/>
  <c r="M40" i="1"/>
  <c r="L76" i="1"/>
  <c r="L66" i="1"/>
  <c r="L11" i="1"/>
  <c r="L68" i="1"/>
  <c r="L72" i="1"/>
  <c r="K96" i="1"/>
  <c r="K18" i="1"/>
  <c r="H88" i="1"/>
  <c r="M29" i="1"/>
  <c r="L28" i="1"/>
  <c r="H46" i="1"/>
  <c r="L35" i="1"/>
  <c r="K40" i="1"/>
  <c r="L62" i="1"/>
  <c r="L42" i="1"/>
  <c r="H64" i="1"/>
  <c r="H22" i="1"/>
  <c r="L97" i="1"/>
  <c r="H47" i="1"/>
  <c r="K64" i="1"/>
  <c r="H26" i="1"/>
  <c r="L83" i="1"/>
  <c r="K51" i="1"/>
  <c r="K84" i="1"/>
  <c r="K66" i="1"/>
  <c r="M70" i="1"/>
  <c r="K24" i="1"/>
  <c r="H68" i="1"/>
  <c r="L12" i="1"/>
  <c r="H78" i="1"/>
  <c r="L49" i="1"/>
  <c r="H80" i="1"/>
  <c r="K26" i="1"/>
  <c r="K20" i="1"/>
  <c r="M83" i="1"/>
  <c r="H23" i="1"/>
  <c r="M95" i="1"/>
  <c r="M27" i="1"/>
  <c r="H35" i="1"/>
  <c r="L31" i="1"/>
  <c r="H67" i="1"/>
  <c r="K80" i="1"/>
  <c r="H70" i="1"/>
  <c r="K57" i="1"/>
  <c r="H83" i="1"/>
  <c r="H95" i="1"/>
  <c r="K70" i="1"/>
  <c r="K71" i="1"/>
  <c r="K61" i="1"/>
  <c r="L44" i="1"/>
  <c r="L56" i="1"/>
  <c r="L10" i="1"/>
  <c r="H59" i="1"/>
  <c r="L88" i="1"/>
  <c r="H61" i="1"/>
  <c r="M56" i="1"/>
  <c r="L17" i="1"/>
  <c r="K27" i="1"/>
  <c r="H73" i="1"/>
  <c r="M93" i="1"/>
  <c r="K85" i="1"/>
  <c r="H48" i="1"/>
  <c r="L65" i="1"/>
  <c r="L37" i="1"/>
  <c r="M37" i="1"/>
  <c r="L71" i="1"/>
  <c r="L52" i="1"/>
  <c r="L60" i="1"/>
  <c r="M60" i="1"/>
  <c r="M62" i="1"/>
  <c r="M33" i="1"/>
  <c r="L38" i="1"/>
  <c r="L29" i="1"/>
  <c r="M38" i="1"/>
  <c r="M44" i="1"/>
  <c r="M69" i="1"/>
  <c r="L55" i="1"/>
  <c r="L99" i="1"/>
  <c r="H50" i="1"/>
  <c r="L41" i="1"/>
  <c r="H53" i="1"/>
  <c r="H18" i="1"/>
  <c r="L79" i="1"/>
  <c r="H92" i="1"/>
  <c r="K33" i="1"/>
  <c r="H66" i="1"/>
  <c r="L77" i="1"/>
  <c r="H58" i="1"/>
  <c r="M55" i="1"/>
  <c r="M99" i="1"/>
  <c r="M41" i="1"/>
  <c r="M79" i="1"/>
  <c r="L63" i="1"/>
  <c r="M77" i="1"/>
  <c r="K58" i="1"/>
  <c r="H97" i="1"/>
  <c r="H13" i="1"/>
  <c r="H72" i="1"/>
  <c r="M67" i="1"/>
  <c r="M59" i="1"/>
  <c r="M63" i="1"/>
  <c r="H28" i="1"/>
  <c r="H56" i="1"/>
  <c r="K74" i="1"/>
  <c r="K10" i="1"/>
  <c r="L46" i="1"/>
  <c r="K97" i="1"/>
  <c r="M11" i="1"/>
  <c r="H65" i="1"/>
  <c r="L25" i="1"/>
  <c r="M89" i="1"/>
  <c r="K72" i="1"/>
  <c r="K44" i="1"/>
  <c r="H49" i="1"/>
  <c r="M88" i="1"/>
  <c r="H29" i="1"/>
  <c r="K56" i="1"/>
  <c r="K69" i="1"/>
  <c r="M35" i="1"/>
  <c r="M71" i="1"/>
  <c r="K65" i="1"/>
  <c r="M25" i="1"/>
  <c r="K41" i="1"/>
  <c r="K49" i="1"/>
  <c r="L98" i="1"/>
  <c r="K42" i="1"/>
  <c r="K79" i="1"/>
  <c r="K29" i="1"/>
  <c r="M20" i="1"/>
  <c r="M43" i="1"/>
  <c r="H54" i="1"/>
  <c r="L45" i="1"/>
  <c r="H74" i="1"/>
  <c r="K77" i="1"/>
  <c r="M30" i="1"/>
  <c r="M76" i="1"/>
  <c r="K78" i="1"/>
  <c r="L34" i="1"/>
  <c r="L81" i="1"/>
  <c r="H37" i="1"/>
  <c r="M45" i="1"/>
  <c r="L16" i="1"/>
  <c r="H11" i="1"/>
  <c r="H71" i="1"/>
  <c r="K68" i="1"/>
  <c r="H14" i="1"/>
  <c r="H31" i="1"/>
  <c r="L57" i="1"/>
  <c r="M34" i="1"/>
  <c r="H52" i="1"/>
  <c r="K75" i="1"/>
  <c r="K37" i="1"/>
  <c r="M16" i="1"/>
  <c r="H60" i="1"/>
  <c r="H32" i="1"/>
  <c r="L85" i="1"/>
  <c r="K14" i="1"/>
  <c r="H94" i="1"/>
  <c r="K31" i="1"/>
  <c r="M57" i="1"/>
  <c r="H21" i="1"/>
  <c r="K52" i="1"/>
  <c r="K36" i="1"/>
  <c r="K17" i="1"/>
  <c r="L73" i="1"/>
  <c r="M85" i="1"/>
  <c r="M50" i="1"/>
  <c r="M94" i="1"/>
  <c r="H62" i="1"/>
  <c r="H98" i="1"/>
  <c r="M18" i="1"/>
  <c r="M21" i="1"/>
  <c r="H20" i="1"/>
  <c r="L33" i="1"/>
  <c r="H75" i="1"/>
  <c r="K45" i="1"/>
  <c r="K46" i="1"/>
  <c r="M73" i="1"/>
  <c r="M97" i="1"/>
  <c r="H24" i="1"/>
  <c r="M12" i="1"/>
  <c r="M14" i="1"/>
  <c r="K15" i="1"/>
  <c r="L39" i="1"/>
  <c r="M42" i="1"/>
  <c r="L82" i="1"/>
  <c r="M82" i="1"/>
  <c r="M26" i="1"/>
  <c r="L26" i="1"/>
  <c r="M74" i="1"/>
  <c r="L74" i="1"/>
  <c r="M39" i="1"/>
  <c r="M78" i="1"/>
  <c r="L78" i="1"/>
  <c r="L54" i="1"/>
  <c r="L27" i="1"/>
  <c r="M68" i="1"/>
  <c r="L90" i="1"/>
  <c r="M90" i="1"/>
  <c r="L67" i="1"/>
  <c r="M36" i="1"/>
  <c r="L32" i="1"/>
  <c r="L91" i="1"/>
  <c r="L75" i="1"/>
  <c r="M75" i="1"/>
  <c r="L51" i="1"/>
  <c r="M51" i="1"/>
  <c r="M84" i="1"/>
  <c r="L84" i="1"/>
  <c r="M32" i="1"/>
  <c r="M24" i="1"/>
  <c r="L24" i="1"/>
  <c r="M96" i="1"/>
  <c r="L96" i="1"/>
  <c r="L20" i="1"/>
  <c r="M87" i="1"/>
  <c r="M48" i="1"/>
  <c r="L48" i="1"/>
  <c r="M47" i="1"/>
  <c r="L47" i="1"/>
  <c r="L19" i="1"/>
  <c r="M19" i="1"/>
  <c r="M81" i="1"/>
  <c r="L86" i="1"/>
  <c r="M53" i="1"/>
  <c r="L53" i="1"/>
  <c r="M92" i="1"/>
  <c r="L92" i="1"/>
  <c r="L61" i="1"/>
  <c r="M61" i="1"/>
  <c r="M23" i="1"/>
  <c r="L23" i="1"/>
  <c r="M58" i="1"/>
  <c r="L58" i="1"/>
  <c r="L21" i="1"/>
  <c r="M28" i="1"/>
  <c r="M17" i="1"/>
  <c r="M22" i="1"/>
  <c r="H41" i="1"/>
  <c r="K89" i="1"/>
  <c r="H57" i="1"/>
  <c r="K62" i="1"/>
  <c r="H79" i="1"/>
  <c r="K88" i="1"/>
  <c r="H33" i="1"/>
  <c r="H45" i="1"/>
  <c r="H77" i="1"/>
  <c r="K35" i="1"/>
  <c r="H85" i="1"/>
  <c r="H25" i="1"/>
  <c r="L43" i="1"/>
  <c r="H76" i="1"/>
  <c r="K94" i="1"/>
  <c r="K59" i="1"/>
  <c r="H34" i="1"/>
  <c r="K21" i="1"/>
  <c r="H63" i="1"/>
  <c r="K43" i="1"/>
  <c r="H38" i="1"/>
  <c r="H16" i="1"/>
  <c r="K73" i="1"/>
  <c r="H55" i="1"/>
  <c r="K11" i="1"/>
  <c r="H12" i="1"/>
  <c r="K13" i="1"/>
  <c r="H44" i="1"/>
  <c r="H39" i="1"/>
  <c r="K25" i="1"/>
  <c r="K34" i="1"/>
  <c r="K63" i="1"/>
  <c r="K38" i="1"/>
  <c r="K16" i="1"/>
  <c r="K55" i="1"/>
  <c r="K12" i="1"/>
  <c r="L94" i="1"/>
  <c r="L59" i="1"/>
  <c r="L22" i="1"/>
</calcChain>
</file>

<file path=xl/sharedStrings.xml><?xml version="1.0" encoding="utf-8"?>
<sst xmlns="http://schemas.openxmlformats.org/spreadsheetml/2006/main" count="1521" uniqueCount="435">
  <si>
    <t>반도체·전자부품 90종목 2027년 밸류에이션</t>
  </si>
  <si>
    <t>주가: 2026-10-15 KRX 정규장 종가(KST). 금액: 억원, 주가: 원, 배수: 배.</t>
  </si>
  <si>
    <t>기존표 27E 추정치 유지 (기존 83종목 10/10, 추가 7종목 10/14). 26E 추정치는 FnGuide 10/14 컨센서스. YoY = 기존표 27E ÷ FnGuide 26E - 1.</t>
  </si>
  <si>
    <t>PER = 보통주 시가총액 / 27E 순이익. POR = 보통주 시가총액 / 27E 영업이익. 시총 = 10/15 종가 × 상장주식 수.</t>
  </si>
  <si>
    <t>† 원표의 연결순이익·지배순이익 차이 5% 초과 표시 유지. 기존 순이익의 회계기준은 원표 기준으로 통일하지 않음.</t>
  </si>
  <si>
    <t>마이크로컨텍솔·테크윙·제우스: 2027년 컨센서스 공란으로 PER·POR 미산출. 임의 추정 미적용.</t>
  </si>
  <si>
    <t>시가총액 방식은 EPS 방식과 다를 수 있음. YoY의 26E/27E 출처 기준이 다르며, 27E 교차점검 차이는 원자료 X열. 26E 적자·0은 백분율 대신 흑자전환·적자지속 등으로 표기.</t>
  </si>
  <si>
    <t>10/14 기준</t>
  </si>
  <si>
    <t>순위</t>
  </si>
  <si>
    <t>종목</t>
  </si>
  <si>
    <t>코드</t>
  </si>
  <si>
    <t>10/15 종가</t>
  </si>
  <si>
    <t>시가총액</t>
  </si>
  <si>
    <t>27E 순이익</t>
  </si>
  <si>
    <t>27E 영업이익</t>
  </si>
  <si>
    <t>27E PER</t>
  </si>
  <si>
    <t>27E POR</t>
  </si>
  <si>
    <t>27E ROE</t>
  </si>
  <si>
    <t>원표 PER</t>
  </si>
  <si>
    <t>원표 POR</t>
  </si>
  <si>
    <t>구분 / 순이익 기준</t>
  </si>
  <si>
    <t>26E 순이익</t>
  </si>
  <si>
    <t>27E 순이익 YoY</t>
  </si>
  <si>
    <t>26E 영업이익</t>
  </si>
  <si>
    <t>27E 영업이익 YoY</t>
  </si>
  <si>
    <t>삼성전자</t>
  </si>
  <si>
    <t>005930</t>
  </si>
  <si>
    <t>기존 / 원표 기준</t>
  </si>
  <si>
    <t>SK하이닉스</t>
  </si>
  <si>
    <t>000660</t>
  </si>
  <si>
    <t>엠케이전자</t>
  </si>
  <si>
    <t>033160</t>
  </si>
  <si>
    <t>기존 / †</t>
  </si>
  <si>
    <t>세보엠이씨</t>
  </si>
  <si>
    <t>011560</t>
  </si>
  <si>
    <t>케이씨</t>
  </si>
  <si>
    <t>029460</t>
  </si>
  <si>
    <t>케이엔제이</t>
  </si>
  <si>
    <t>272110</t>
  </si>
  <si>
    <t>에프엔에스테크</t>
  </si>
  <si>
    <t>083500</t>
  </si>
  <si>
    <t>유니테스트</t>
  </si>
  <si>
    <t>086390</t>
  </si>
  <si>
    <t>원익머트리얼즈</t>
  </si>
  <si>
    <t>104830</t>
  </si>
  <si>
    <t>지앤비에스 에코</t>
  </si>
  <si>
    <t>382800</t>
  </si>
  <si>
    <t>싸이맥스</t>
  </si>
  <si>
    <t>160980</t>
  </si>
  <si>
    <t>텔레칩스</t>
  </si>
  <si>
    <t>054450</t>
  </si>
  <si>
    <t>이엔에프테크놀로지</t>
  </si>
  <si>
    <t>102710</t>
  </si>
  <si>
    <t>엘티씨</t>
  </si>
  <si>
    <t>170920</t>
  </si>
  <si>
    <t>해성디에스</t>
  </si>
  <si>
    <t>195870</t>
  </si>
  <si>
    <t>한솔아이원스</t>
  </si>
  <si>
    <t>114810</t>
  </si>
  <si>
    <t>유니셈</t>
  </si>
  <si>
    <t>036200</t>
  </si>
  <si>
    <t>신성이엔지</t>
  </si>
  <si>
    <t>011930</t>
  </si>
  <si>
    <t>저스템</t>
  </si>
  <si>
    <t>417840</t>
  </si>
  <si>
    <t>원익QnC</t>
  </si>
  <si>
    <t>074600</t>
  </si>
  <si>
    <t>프로텍</t>
  </si>
  <si>
    <t>053610</t>
  </si>
  <si>
    <t>코세스</t>
  </si>
  <si>
    <t>089890</t>
  </si>
  <si>
    <t>LX세미콘</t>
  </si>
  <si>
    <t>108320</t>
  </si>
  <si>
    <t>DB하이텍</t>
  </si>
  <si>
    <t>000990</t>
  </si>
  <si>
    <t>피엠티</t>
  </si>
  <si>
    <t>147760</t>
  </si>
  <si>
    <t>펨트론</t>
  </si>
  <si>
    <t>168360</t>
  </si>
  <si>
    <t>삼양엔씨켐</t>
  </si>
  <si>
    <t>482630</t>
  </si>
  <si>
    <t>에이엘티</t>
  </si>
  <si>
    <t>172670</t>
  </si>
  <si>
    <t>뉴파워프라즈마</t>
  </si>
  <si>
    <t>144960</t>
  </si>
  <si>
    <t>하나마이크론</t>
  </si>
  <si>
    <t>067310</t>
  </si>
  <si>
    <t>하나머티리얼즈</t>
  </si>
  <si>
    <t>166090</t>
  </si>
  <si>
    <t>브이엠</t>
  </si>
  <si>
    <t>089970</t>
  </si>
  <si>
    <t>와이씨켐</t>
  </si>
  <si>
    <t>112290</t>
  </si>
  <si>
    <t>GST</t>
  </si>
  <si>
    <t>083450</t>
  </si>
  <si>
    <t>예스티</t>
  </si>
  <si>
    <t>122640</t>
  </si>
  <si>
    <t>네패스아크</t>
  </si>
  <si>
    <t>330860</t>
  </si>
  <si>
    <t>에이디테크놀로지</t>
  </si>
  <si>
    <t>200710</t>
  </si>
  <si>
    <t>덕산하이메탈</t>
  </si>
  <si>
    <t>077360</t>
  </si>
  <si>
    <t>오킨스전자</t>
  </si>
  <si>
    <t>080580</t>
  </si>
  <si>
    <t>네패스</t>
  </si>
  <si>
    <t>033640</t>
  </si>
  <si>
    <t>비씨엔씨</t>
  </si>
  <si>
    <t>146320</t>
  </si>
  <si>
    <t>솔브레인</t>
  </si>
  <si>
    <t>357780</t>
  </si>
  <si>
    <t>네오티스</t>
  </si>
  <si>
    <t>085910</t>
  </si>
  <si>
    <t>추가 / 지배순이익</t>
  </si>
  <si>
    <t>코리아써키트</t>
  </si>
  <si>
    <t>007810</t>
  </si>
  <si>
    <t>한솔케미칼</t>
  </si>
  <si>
    <t>014680</t>
  </si>
  <si>
    <t>큐알티</t>
  </si>
  <si>
    <t>405100</t>
  </si>
  <si>
    <t>넥스틴</t>
  </si>
  <si>
    <t>348210</t>
  </si>
  <si>
    <t>티에프이</t>
  </si>
  <si>
    <t>425420</t>
  </si>
  <si>
    <t>티엘비</t>
  </si>
  <si>
    <t>356860</t>
  </si>
  <si>
    <t>심텍</t>
  </si>
  <si>
    <t>222800</t>
  </si>
  <si>
    <t>엑시콘</t>
  </si>
  <si>
    <t>092870</t>
  </si>
  <si>
    <t>파두</t>
  </si>
  <si>
    <t>440110</t>
  </si>
  <si>
    <t>인텍플러스</t>
  </si>
  <si>
    <t>064290</t>
  </si>
  <si>
    <t>티에스이</t>
  </si>
  <si>
    <t>131290</t>
  </si>
  <si>
    <t>세미파이브</t>
  </si>
  <si>
    <t>490470</t>
  </si>
  <si>
    <t>디아이</t>
  </si>
  <si>
    <t>003160</t>
  </si>
  <si>
    <t>이수페타시스</t>
  </si>
  <si>
    <t>007660</t>
  </si>
  <si>
    <t>네오셈</t>
  </si>
  <si>
    <t>253590</t>
  </si>
  <si>
    <t>피에스케이</t>
  </si>
  <si>
    <t>319660</t>
  </si>
  <si>
    <t>기가비스</t>
  </si>
  <si>
    <t>420770</t>
  </si>
  <si>
    <t>코미코</t>
  </si>
  <si>
    <t>183300</t>
  </si>
  <si>
    <t>사피엔반도체</t>
  </si>
  <si>
    <t>452430</t>
  </si>
  <si>
    <t>테스</t>
  </si>
  <si>
    <t>095610</t>
  </si>
  <si>
    <t>티씨케이</t>
  </si>
  <si>
    <t>064760</t>
  </si>
  <si>
    <t>후성</t>
  </si>
  <si>
    <t>093370</t>
  </si>
  <si>
    <t>대덕전자</t>
  </si>
  <si>
    <t>353200</t>
  </si>
  <si>
    <t>샘씨엔에스</t>
  </si>
  <si>
    <t>252990</t>
  </si>
  <si>
    <t>피에스케이홀딩스</t>
  </si>
  <si>
    <t>031980</t>
  </si>
  <si>
    <t>유진테크</t>
  </si>
  <si>
    <t>084370</t>
  </si>
  <si>
    <t>원익IPS</t>
  </si>
  <si>
    <t>240810</t>
  </si>
  <si>
    <t>에이직랜드</t>
  </si>
  <si>
    <t>445090</t>
  </si>
  <si>
    <t>칩스앤미디어</t>
  </si>
  <si>
    <t>094360</t>
  </si>
  <si>
    <t>에프에스티</t>
  </si>
  <si>
    <t>036810</t>
  </si>
  <si>
    <t>HPSP</t>
  </si>
  <si>
    <t>403870</t>
  </si>
  <si>
    <t>리노공업</t>
  </si>
  <si>
    <t>058470</t>
  </si>
  <si>
    <t>SFA반도체</t>
  </si>
  <si>
    <t>036540</t>
  </si>
  <si>
    <t>성호전자</t>
  </si>
  <si>
    <t>043260</t>
  </si>
  <si>
    <t>두산테스나</t>
  </si>
  <si>
    <t>131970</t>
  </si>
  <si>
    <t>와이씨</t>
  </si>
  <si>
    <t>232140</t>
  </si>
  <si>
    <t>ISC</t>
  </si>
  <si>
    <t>095340</t>
  </si>
  <si>
    <t>삼성전기</t>
  </si>
  <si>
    <t>009150</t>
  </si>
  <si>
    <t>파크시스템스</t>
  </si>
  <si>
    <t>140860</t>
  </si>
  <si>
    <t>이오테크닉스</t>
  </si>
  <si>
    <t>039030</t>
  </si>
  <si>
    <t>고영</t>
  </si>
  <si>
    <t>098460</t>
  </si>
  <si>
    <t>RF머트리얼즈</t>
  </si>
  <si>
    <t>327260</t>
  </si>
  <si>
    <t>한미반도체</t>
  </si>
  <si>
    <t>042700</t>
  </si>
  <si>
    <t>주성엔지니어링</t>
  </si>
  <si>
    <t>036930</t>
  </si>
  <si>
    <t>마이크로컨텍솔</t>
  </si>
  <si>
    <t>098120</t>
  </si>
  <si>
    <t>추가 / 컨센서스 없음</t>
  </si>
  <si>
    <t>테크윙</t>
  </si>
  <si>
    <t>089030</t>
  </si>
  <si>
    <t>제우스</t>
  </si>
  <si>
    <t>079370</t>
  </si>
  <si>
    <t>원표 및 조회 입력값</t>
  </si>
  <si>
    <t>원표 시총은 조원 단위 반올림을 포함. 재계산에는 사용하지 않음. 추가 종목 순이익은 지배주주 기준.</t>
  </si>
  <si>
    <t>27E ROE: 10/14 직접 제공값 79개 대조 일치. 미확인 11개: 자기자본 미확인 7, 출처 불일치 1, 이익 추정도 미확인 3.</t>
  </si>
  <si>
    <t>2026-10-15 KRX 정규장 종가. 시세 응답의 closePrice 사용. NXT 시간외 overPrice 제외.</t>
  </si>
  <si>
    <t>ROE = 2027E 지배주주순이익 ÷ 2026말·2027말 평균 지배주주자본. 별도는 별도 기준. PER/POR 존재만으로 산출 가능하지 않음.</t>
  </si>
  <si>
    <t>기존 원표 이익(10/10)과 ROE(10/14)는 기준일이 다름. 원표 † 순이익과 ROE 지배주주순이익의 기준 차이에 유의. 재검토 사유는 S열.</t>
  </si>
  <si>
    <t>원표 시총</t>
  </si>
  <si>
    <t>†</t>
  </si>
  <si>
    <t>상장주식 수</t>
  </si>
  <si>
    <t>주가 기준</t>
  </si>
  <si>
    <t>실적 출처</t>
  </si>
  <si>
    <t>시세 출처</t>
  </si>
  <si>
    <t>종가 확인 출처</t>
  </si>
  <si>
    <t>ROE 재무기준</t>
  </si>
  <si>
    <t>ROE 기준일</t>
  </si>
  <si>
    <t>ROE 출처</t>
  </si>
  <si>
    <t>ROE 재검토 결과 (10/15)</t>
  </si>
  <si>
    <t>26E 순이익 (억원)</t>
  </si>
  <si>
    <t>26E 영업이익 (억원)</t>
  </si>
  <si>
    <t>26E 회계기준</t>
  </si>
  <si>
    <t>26E 출처 (10/14)</t>
  </si>
  <si>
    <t>27E 추정치 교차점검</t>
  </si>
  <si>
    <t>2026-10-15 정규장 종가</t>
  </si>
  <si>
    <t>사용자 첨부 IMG_7104~7108 / 원문 https://m.blog.naver.com/stockvera/224440085158</t>
  </si>
  <si>
    <t>https://polling.finance.naver.com/api/realtime/domestic/stock/005930</t>
  </si>
  <si>
    <t>IFRS연결</t>
  </si>
  <si>
    <t>2026-10-14</t>
  </si>
  <si>
    <t>https://comp.wisereport.co.kr/company/ajax/c1050001_data.aspx?flag=2&amp;cmp_cd=005930&amp;finGubun=MAIN&amp;frq=0&amp;sDT=20261014&amp;chartType=image</t>
  </si>
  <si>
    <t>2027.12(E) ROE 직접 제공값과 대조 일치. 백분율 단위·종목코드 확인.</t>
  </si>
  <si>
    <t>27E 원표와 FnGuide 차이 10% 이내 또는 비교 자료 없음</t>
  </si>
  <si>
    <t>https://polling.finance.naver.com/api/realtime/domestic/stock/000660</t>
  </si>
  <si>
    <t>https://comp.wisereport.co.kr/company/ajax/c1050001_data.aspx?flag=2&amp;cmp_cd=000660&amp;finGubun=MAIN&amp;frq=0&amp;sDT=20261014&amp;chartType=image</t>
  </si>
  <si>
    <t>https://polling.finance.naver.com/api/realtime/domestic/stock/033160</t>
  </si>
  <si>
    <t>미확인</t>
  </si>
  <si>
    <t>https://comp.wisereport.co.kr/company/ajax/c1050001_data.aspx?flag=2&amp;cmp_cd=033160&amp;finGubun=MAIN&amp;frq=0&amp;sDT=20261014&amp;chartType=image</t>
  </si>
  <si>
    <t>2027년 이익 추정치는 있으나 2026/2027 BPS·ROE 미제공. 평균 예상 자기자본 미확인으로 계산 보류. 주재무·연결·별도 및 기업현황 화면 재조회. 별도 ROE 21.64%는 확인되나 연결 기준과 달라 대체하지 않음.</t>
  </si>
  <si>
    <t>순이익: 기존 27E 1,079.00억원 vs FnGuide 849.00억원 (-21.3%); 영업이익: 기존 27E 1,744.00억원 vs FnGuide 1,559.00억원 (-10.6%)</t>
  </si>
  <si>
    <t>https://polling.finance.naver.com/api/realtime/domestic/stock/011560</t>
  </si>
  <si>
    <t>https://comp.wisereport.co.kr/company/ajax/c1050001_data.aspx?flag=2&amp;cmp_cd=011560&amp;finGubun=MAIN&amp;frq=0&amp;sDT=20261014&amp;chartType=image</t>
  </si>
  <si>
    <t>https://polling.finance.naver.com/api/realtime/domestic/stock/029460</t>
  </si>
  <si>
    <t>https://comp.wisereport.co.kr/company/ajax/c1050001_data.aspx?flag=2&amp;cmp_cd=029460&amp;finGubun=MAIN&amp;frq=0&amp;sDT=20261014&amp;chartType=image</t>
  </si>
  <si>
    <t>2027년 이익 추정치는 있으나 2026/2027 BPS·ROE 미제공. 평균 예상 자기자본 미확인으로 계산 보류. 주재무·연결·별도 및 기업현황 화면 재조회.</t>
  </si>
  <si>
    <t>https://polling.finance.naver.com/api/realtime/domestic/stock/083500</t>
  </si>
  <si>
    <t>https://comp.wisereport.co.kr/company/ajax/c1050001_data.aspx?flag=2&amp;cmp_cd=083500&amp;finGubun=MAIN&amp;frq=0&amp;sDT=20261014&amp;chartType=image</t>
  </si>
  <si>
    <t>https://polling.finance.naver.com/api/realtime/domestic/stock/104830</t>
  </si>
  <si>
    <t>https://comp.wisereport.co.kr/company/ajax/c1050001_data.aspx?flag=2&amp;cmp_cd=104830&amp;finGubun=MAIN&amp;frq=0&amp;sDT=20261014&amp;chartType=image</t>
  </si>
  <si>
    <t>https://polling.finance.naver.com/api/realtime/domestic/stock/272110</t>
  </si>
  <si>
    <t>https://comp.wisereport.co.kr/company/ajax/c1050001_data.aspx?flag=2&amp;cmp_cd=272110&amp;finGubun=MAIN&amp;frq=0&amp;sDT=20261014&amp;chartType=image</t>
  </si>
  <si>
    <t>https://polling.finance.naver.com/api/realtime/domestic/stock/382800</t>
  </si>
  <si>
    <t>https://comp.wisereport.co.kr/company/ajax/c1050001_data.aspx?flag=2&amp;cmp_cd=382800&amp;finGubun=MAIN&amp;frq=0&amp;sDT=20261014&amp;chartType=image</t>
  </si>
  <si>
    <t>https://polling.finance.naver.com/api/realtime/domestic/stock/086390</t>
  </si>
  <si>
    <t>https://comp.wisereport.co.kr/company/ajax/c1050001_data.aspx?flag=2&amp;cmp_cd=086390&amp;finGubun=MAIN&amp;frq=0&amp;sDT=20261014&amp;chartType=image</t>
  </si>
  <si>
    <t>https://polling.finance.naver.com/api/realtime/domestic/stock/102710</t>
  </si>
  <si>
    <t>https://comp.wisereport.co.kr/company/ajax/c1050001_data.aspx?flag=2&amp;cmp_cd=102710&amp;finGubun=MAIN&amp;frq=0&amp;sDT=20261014&amp;chartType=image</t>
  </si>
  <si>
    <t>https://polling.finance.naver.com/api/realtime/domestic/stock/054450</t>
  </si>
  <si>
    <t>https://comp.wisereport.co.kr/company/ajax/c1050001_data.aspx?flag=2&amp;cmp_cd=054450&amp;finGubun=MAIN&amp;frq=0&amp;sDT=20261014&amp;chartType=image</t>
  </si>
  <si>
    <t>https://polling.finance.naver.com/api/realtime/domestic/stock/160980</t>
  </si>
  <si>
    <t>https://comp.wisereport.co.kr/company/ajax/c1050001_data.aspx?flag=2&amp;cmp_cd=160980&amp;finGubun=MAIN&amp;frq=0&amp;sDT=20261014&amp;chartType=image</t>
  </si>
  <si>
    <t>https://polling.finance.naver.com/api/realtime/domestic/stock/114810</t>
  </si>
  <si>
    <t>https://comp.wisereport.co.kr/company/ajax/c1050001_data.aspx?flag=2&amp;cmp_cd=114810&amp;finGubun=MAIN&amp;frq=0&amp;sDT=20261014&amp;chartType=image</t>
  </si>
  <si>
    <t>https://polling.finance.naver.com/api/realtime/domestic/stock/036200</t>
  </si>
  <si>
    <t>https://comp.wisereport.co.kr/company/ajax/c1050001_data.aspx?flag=2&amp;cmp_cd=036200&amp;finGubun=MAIN&amp;frq=0&amp;sDT=20261014&amp;chartType=image</t>
  </si>
  <si>
    <t>https://polling.finance.naver.com/api/realtime/domestic/stock/170920</t>
  </si>
  <si>
    <t>https://comp.wisereport.co.kr/company/ajax/c1050001_data.aspx?flag=2&amp;cmp_cd=170920&amp;finGubun=MAIN&amp;frq=0&amp;sDT=20261014&amp;chartType=image</t>
  </si>
  <si>
    <t>https://polling.finance.naver.com/api/realtime/domestic/stock/011930</t>
  </si>
  <si>
    <t>https://comp.wisereport.co.kr/company/ajax/c1050001_data.aspx?flag=2&amp;cmp_cd=011930&amp;finGubun=MAIN&amp;frq=0&amp;sDT=20261014&amp;chartType=image</t>
  </si>
  <si>
    <t>https://polling.finance.naver.com/api/realtime/domestic/stock/195870</t>
  </si>
  <si>
    <t>https://comp.wisereport.co.kr/company/ajax/c1050001_data.aspx?flag=2&amp;cmp_cd=195870&amp;finGubun=MAIN&amp;frq=0&amp;sDT=20261014&amp;chartType=image</t>
  </si>
  <si>
    <t>https://polling.finance.naver.com/api/realtime/domestic/stock/089890</t>
  </si>
  <si>
    <t>https://comp.wisereport.co.kr/company/ajax/c1050001_data.aspx?flag=2&amp;cmp_cd=089890&amp;finGubun=MAIN&amp;frq=0&amp;sDT=20261014&amp;chartType=image</t>
  </si>
  <si>
    <t>https://polling.finance.naver.com/api/realtime/domestic/stock/108320</t>
  </si>
  <si>
    <t>https://comp.wisereport.co.kr/company/ajax/c1050001_data.aspx?flag=2&amp;cmp_cd=108320&amp;finGubun=MAIN&amp;frq=0&amp;sDT=20261014&amp;chartType=image</t>
  </si>
  <si>
    <t>https://polling.finance.naver.com/api/realtime/domestic/stock/074600</t>
  </si>
  <si>
    <t>https://comp.wisereport.co.kr/company/ajax/c1050001_data.aspx?flag=2&amp;cmp_cd=074600&amp;finGubun=MAIN&amp;frq=0&amp;sDT=20261014&amp;chartType=image</t>
  </si>
  <si>
    <t>https://polling.finance.naver.com/api/realtime/domestic/stock/053610</t>
  </si>
  <si>
    <t>https://comp.wisereport.co.kr/company/ajax/c1050001_data.aspx?flag=2&amp;cmp_cd=053610&amp;finGubun=MAIN&amp;frq=0&amp;sDT=20261014&amp;chartType=image</t>
  </si>
  <si>
    <t>https://polling.finance.naver.com/api/realtime/domestic/stock/417840</t>
  </si>
  <si>
    <t>https://comp.wisereport.co.kr/company/ajax/c1050001_data.aspx?flag=2&amp;cmp_cd=417840&amp;finGubun=MAIN&amp;frq=0&amp;sDT=20261014&amp;chartType=image</t>
  </si>
  <si>
    <t>https://polling.finance.naver.com/api/realtime/domestic/stock/482630</t>
  </si>
  <si>
    <t>IFRS별도</t>
  </si>
  <si>
    <t>https://comp.wisereport.co.kr/company/ajax/c1050001_data.aspx?flag=2&amp;cmp_cd=482630&amp;finGubun=MAIN&amp;frq=0&amp;sDT=20261014&amp;chartType=image</t>
  </si>
  <si>
    <t>https://polling.finance.naver.com/api/realtime/domestic/stock/172670</t>
  </si>
  <si>
    <t>https://comp.wisereport.co.kr/company/ajax/c1050001_data.aspx?flag=2&amp;cmp_cd=172670&amp;finGubun=MAIN&amp;frq=0&amp;sDT=20261014&amp;chartType=image</t>
  </si>
  <si>
    <t>https://polling.finance.naver.com/api/realtime/domestic/stock/000990</t>
  </si>
  <si>
    <t>https://comp.wisereport.co.kr/company/ajax/c1050001_data.aspx?flag=2&amp;cmp_cd=000990&amp;finGubun=MAIN&amp;frq=0&amp;sDT=20261014&amp;chartType=image</t>
  </si>
  <si>
    <t>https://polling.finance.naver.com/api/realtime/domestic/stock/144960</t>
  </si>
  <si>
    <t>https://comp.wisereport.co.kr/company/ajax/c1050001_data.aspx?flag=2&amp;cmp_cd=144960&amp;finGubun=MAIN&amp;frq=0&amp;sDT=20261014&amp;chartType=image</t>
  </si>
  <si>
    <t>https://polling.finance.naver.com/api/realtime/domestic/stock/147760</t>
  </si>
  <si>
    <t>https://comp.wisereport.co.kr/company/ajax/c1050001_data.aspx?flag=2&amp;cmp_cd=147760&amp;finGubun=MAIN&amp;frq=0&amp;sDT=20261014&amp;chartType=image</t>
  </si>
  <si>
    <t>https://polling.finance.naver.com/api/realtime/domestic/stock/067310</t>
  </si>
  <si>
    <t>https://comp.wisereport.co.kr/company/ajax/c1050001_data.aspx?flag=2&amp;cmp_cd=067310&amp;finGubun=MAIN&amp;frq=0&amp;sDT=20261014&amp;chartType=image</t>
  </si>
  <si>
    <t>https://polling.finance.naver.com/api/realtime/domestic/stock/166090</t>
  </si>
  <si>
    <t>https://comp.wisereport.co.kr/company/ajax/c1050001_data.aspx?flag=2&amp;cmp_cd=166090&amp;finGubun=MAIN&amp;frq=0&amp;sDT=20261014&amp;chartType=image</t>
  </si>
  <si>
    <t>https://polling.finance.naver.com/api/realtime/domestic/stock/168360</t>
  </si>
  <si>
    <t>https://comp.wisereport.co.kr/company/ajax/c1050001_data.aspx?flag=2&amp;cmp_cd=168360&amp;finGubun=MAIN&amp;frq=0&amp;sDT=20261014&amp;chartType=image</t>
  </si>
  <si>
    <t>https://polling.finance.naver.com/api/realtime/domestic/stock/112290</t>
  </si>
  <si>
    <t>https://comp.wisereport.co.kr/company/ajax/c1050001_data.aspx?flag=2&amp;cmp_cd=112290&amp;finGubun=MAIN&amp;frq=0&amp;sDT=20261014&amp;chartType=image</t>
  </si>
  <si>
    <t>https://polling.finance.naver.com/api/realtime/domestic/stock/405100</t>
  </si>
  <si>
    <t>https://comp.wisereport.co.kr/company/ajax/c1050001_data.aspx?flag=2&amp;cmp_cd=405100&amp;finGubun=MAIN&amp;frq=0&amp;sDT=20261014&amp;chartType=image</t>
  </si>
  <si>
    <t>https://polling.finance.naver.com/api/realtime/domestic/stock/080580</t>
  </si>
  <si>
    <t>https://comp.wisereport.co.kr/company/ajax/c1050001_data.aspx?flag=2&amp;cmp_cd=080580&amp;finGubun=MAIN&amp;frq=0&amp;sDT=20261014&amp;chartType=image</t>
  </si>
  <si>
    <t>https://polling.finance.naver.com/api/realtime/domestic/stock/083450</t>
  </si>
  <si>
    <t>https://comp.wisereport.co.kr/company/ajax/c1050001_data.aspx?flag=2&amp;cmp_cd=083450&amp;finGubun=MAIN&amp;frq=0&amp;sDT=20261014&amp;chartType=image</t>
  </si>
  <si>
    <t>https://polling.finance.naver.com/api/realtime/domestic/stock/146320</t>
  </si>
  <si>
    <t>https://comp.wisereport.co.kr/company/ajax/c1050001_data.aspx?flag=2&amp;cmp_cd=146320&amp;finGubun=MAIN&amp;frq=0&amp;sDT=20261014&amp;chartType=image</t>
  </si>
  <si>
    <t>https://polling.finance.naver.com/api/realtime/domestic/stock/122640</t>
  </si>
  <si>
    <t>https://comp.wisereport.co.kr/company/ajax/c1050001_data.aspx?flag=2&amp;cmp_cd=122640&amp;finGubun=MAIN&amp;frq=0&amp;sDT=20261014&amp;chartType=image</t>
  </si>
  <si>
    <t>https://polling.finance.naver.com/api/realtime/domestic/stock/089970</t>
  </si>
  <si>
    <t>https://comp.wisereport.co.kr/company/ajax/c1050001_data.aspx?flag=2&amp;cmp_cd=089970&amp;finGubun=MAIN&amp;frq=0&amp;sDT=20261014&amp;chartType=image</t>
  </si>
  <si>
    <t>https://polling.finance.naver.com/api/realtime/domestic/stock/014680</t>
  </si>
  <si>
    <t>https://comp.wisereport.co.kr/company/ajax/c1050001_data.aspx?flag=2&amp;cmp_cd=014680&amp;finGubun=MAIN&amp;frq=0&amp;sDT=20261014&amp;chartType=image</t>
  </si>
  <si>
    <t>https://polling.finance.naver.com/api/realtime/domestic/stock/200710</t>
  </si>
  <si>
    <t>https://comp.wisereport.co.kr/company/ajax/c1050001_data.aspx?flag=2&amp;cmp_cd=200710&amp;finGubun=MAIN&amp;frq=0&amp;sDT=20261014&amp;chartType=image</t>
  </si>
  <si>
    <t>순이익: 기존 27E 251.00억원 vs FnGuide 207.50억원 (-17.3%); 영업이익: 기존 27E 307.00억원 vs FnGuide 238.00억원 (-22.5%)</t>
  </si>
  <si>
    <t>https://polling.finance.naver.com/api/realtime/domestic/stock/077360</t>
  </si>
  <si>
    <t>https://comp.wisereport.co.kr/company/ajax/c1050001_data.aspx?flag=2&amp;cmp_cd=077360&amp;finGubun=MAIN&amp;frq=0&amp;sDT=20261014&amp;chartType=image</t>
  </si>
  <si>
    <t>https://polling.finance.naver.com/api/realtime/domestic/stock/357780</t>
  </si>
  <si>
    <t>https://comp.wisereport.co.kr/company/ajax/c1050001_data.aspx?flag=2&amp;cmp_cd=357780&amp;finGubun=MAIN&amp;frq=0&amp;sDT=20261014&amp;chartType=image</t>
  </si>
  <si>
    <t>https://polling.finance.naver.com/api/realtime/domestic/stock/330860</t>
  </si>
  <si>
    <t>https://comp.wisereport.co.kr/company/ajax/c1050001_data.aspx?flag=2&amp;cmp_cd=330860&amp;finGubun=MAIN&amp;frq=0&amp;sDT=20261014&amp;chartType=image</t>
  </si>
  <si>
    <t>https://polling.finance.naver.com/api/realtime/domestic/stock/033640</t>
  </si>
  <si>
    <t>https://comp.wisereport.co.kr/company/ajax/c1050001_data.aspx?flag=2&amp;cmp_cd=033640&amp;finGubun=MAIN&amp;frq=0&amp;sDT=20261014&amp;chartType=image</t>
  </si>
  <si>
    <t>순이익: 기존 27E 492.00억원 vs FnGuide 432.67억원 (-12.1%)</t>
  </si>
  <si>
    <t>https://polling.finance.naver.com/api/realtime/domestic/stock/007810</t>
  </si>
  <si>
    <t>https://comp.wisereport.co.kr/company/ajax/c1050001_data.aspx?flag=2&amp;cmp_cd=007810&amp;finGubun=MAIN&amp;frq=0&amp;sDT=20261014&amp;chartType=image</t>
  </si>
  <si>
    <t>https://polling.finance.naver.com/api/realtime/domestic/stock/425420</t>
  </si>
  <si>
    <t>https://comp.wisereport.co.kr/company/ajax/c1050001_data.aspx?flag=2&amp;cmp_cd=425420&amp;finGubun=MAIN&amp;frq=0&amp;sDT=20261014&amp;chartType=image</t>
  </si>
  <si>
    <t>https://polling.finance.naver.com/api/realtime/domestic/stock/064290</t>
  </si>
  <si>
    <t>https://comp.wisereport.co.kr/company/ajax/c1050001_data.aspx?flag=2&amp;cmp_cd=064290&amp;finGubun=MAIN&amp;frq=0&amp;sDT=20261014&amp;chartType=image</t>
  </si>
  <si>
    <t>https://polling.finance.naver.com/api/realtime/domestic/stock/348210</t>
  </si>
  <si>
    <t>https://comp.wisereport.co.kr/company/ajax/c1050001_data.aspx?flag=2&amp;cmp_cd=348210&amp;finGubun=MAIN&amp;frq=0&amp;sDT=20261014&amp;chartType=image</t>
  </si>
  <si>
    <t>https://polling.finance.naver.com/api/realtime/domestic/stock/222800</t>
  </si>
  <si>
    <t>https://comp.wisereport.co.kr/company/ajax/c1050001_data.aspx?flag=2&amp;cmp_cd=222800&amp;finGubun=MAIN&amp;frq=0&amp;sDT=20261014&amp;chartType=image</t>
  </si>
  <si>
    <t>https://polling.finance.naver.com/api/realtime/domestic/stock/092870</t>
  </si>
  <si>
    <t>https://comp.wisereport.co.kr/company/ajax/c1050001_data.aspx?flag=2&amp;cmp_cd=092870&amp;finGubun=MAIN&amp;frq=0&amp;sDT=20261014&amp;chartType=image</t>
  </si>
  <si>
    <t>https://polling.finance.naver.com/api/realtime/domestic/stock/356860</t>
  </si>
  <si>
    <t>https://comp.wisereport.co.kr/company/ajax/c1050001_data.aspx?flag=2&amp;cmp_cd=356860&amp;finGubun=MAIN&amp;frq=0&amp;sDT=20261014&amp;chartType=image</t>
  </si>
  <si>
    <t>https://polling.finance.naver.com/api/realtime/domestic/stock/131290</t>
  </si>
  <si>
    <t>https://comp.wisereport.co.kr/company/ajax/c1050001_data.aspx?flag=2&amp;cmp_cd=131290&amp;finGubun=MAIN&amp;frq=0&amp;sDT=20261014&amp;chartType=image</t>
  </si>
  <si>
    <t>https://polling.finance.naver.com/api/realtime/domestic/stock/440110</t>
  </si>
  <si>
    <t>https://comp.wisereport.co.kr/company/ajax/c1050001_data.aspx?flag=2&amp;cmp_cd=440110&amp;finGubun=MAIN&amp;frq=0&amp;sDT=20261014&amp;chartType=image</t>
  </si>
  <si>
    <t>https://polling.finance.naver.com/api/realtime/domestic/stock/003160</t>
  </si>
  <si>
    <t>https://comp.wisereport.co.kr/company/ajax/c1050001_data.aspx?flag=2&amp;cmp_cd=003160&amp;finGubun=MAIN&amp;frq=0&amp;sDT=20261014&amp;chartType=image</t>
  </si>
  <si>
    <t>순이익: 기존 27E 625.00억원 vs FnGuide 708.67억원 (+13.4%)</t>
  </si>
  <si>
    <t>https://polling.finance.naver.com/api/realtime/domestic/stock/420770</t>
  </si>
  <si>
    <t>https://comp.wisereport.co.kr/company/ajax/c1050001_data.aspx?flag=2&amp;cmp_cd=420770&amp;finGubun=MAIN&amp;frq=0&amp;sDT=20261014&amp;chartType=image</t>
  </si>
  <si>
    <t>https://polling.finance.naver.com/api/realtime/domestic/stock/452430</t>
  </si>
  <si>
    <t>https://comp.wisereport.co.kr/company/ajax/c1050001_data.aspx?flag=2&amp;cmp_cd=452430&amp;finGubun=MAIN&amp;frq=0&amp;sDT=20261014&amp;chartType=image</t>
  </si>
  <si>
    <t>https://polling.finance.naver.com/api/realtime/domestic/stock/253590</t>
  </si>
  <si>
    <t>https://comp.wisereport.co.kr/company/ajax/c1050001_data.aspx?flag=2&amp;cmp_cd=253590&amp;finGubun=MAIN&amp;frq=0&amp;sDT=20261014&amp;chartType=image</t>
  </si>
  <si>
    <t>https://polling.finance.naver.com/api/realtime/domestic/stock/490470</t>
  </si>
  <si>
    <t>https://comp.wisereport.co.kr/company/ajax/c1050001_data.aspx?flag=2&amp;cmp_cd=490470&amp;finGubun=MAIN&amp;frq=0&amp;sDT=20261014&amp;chartType=image</t>
  </si>
  <si>
    <t>https://polling.finance.naver.com/api/realtime/domestic/stock/319660</t>
  </si>
  <si>
    <t>https://comp.wisereport.co.kr/company/ajax/c1050001_data.aspx?flag=2&amp;cmp_cd=319660&amp;finGubun=MAIN&amp;frq=0&amp;sDT=20261014&amp;chartType=image</t>
  </si>
  <si>
    <t>https://polling.finance.naver.com/api/realtime/domestic/stock/007660</t>
  </si>
  <si>
    <t>https://comp.wisereport.co.kr/company/ajax/c1050001_data.aspx?flag=2&amp;cmp_cd=007660&amp;finGubun=MAIN&amp;frq=0&amp;sDT=20261014&amp;chartType=image</t>
  </si>
  <si>
    <t>https://polling.finance.naver.com/api/realtime/domestic/stock/093370</t>
  </si>
  <si>
    <t>https://comp.wisereport.co.kr/company/ajax/c1050001_data.aspx?flag=2&amp;cmp_cd=093370&amp;finGubun=MAIN&amp;frq=0&amp;sDT=20261014&amp;chartType=image</t>
  </si>
  <si>
    <t>https://polling.finance.naver.com/api/realtime/domestic/stock/031980</t>
  </si>
  <si>
    <t>https://comp.wisereport.co.kr/company/ajax/c1050001_data.aspx?flag=2&amp;cmp_cd=031980&amp;finGubun=MAIN&amp;frq=0&amp;sDT=20261014&amp;chartType=image</t>
  </si>
  <si>
    <t>https://polling.finance.naver.com/api/realtime/domestic/stock/353200</t>
  </si>
  <si>
    <t>https://comp.wisereport.co.kr/company/ajax/c1050001_data.aspx?flag=2&amp;cmp_cd=353200&amp;finGubun=MAIN&amp;frq=0&amp;sDT=20261014&amp;chartType=image</t>
  </si>
  <si>
    <t>https://polling.finance.naver.com/api/realtime/domestic/stock/252990</t>
  </si>
  <si>
    <t>https://comp.wisereport.co.kr/company/ajax/c1050001_data.aspx?flag=2&amp;cmp_cd=252990&amp;finGubun=MAIN&amp;frq=0&amp;sDT=20261014&amp;chartType=image</t>
  </si>
  <si>
    <t>https://polling.finance.naver.com/api/realtime/domestic/stock/183300</t>
  </si>
  <si>
    <t>https://comp.wisereport.co.kr/company/ajax/c1050001_data.aspx?flag=2&amp;cmp_cd=183300&amp;finGubun=MAIN&amp;frq=0&amp;sDT=20261014&amp;chartType=image</t>
  </si>
  <si>
    <t>https://polling.finance.naver.com/api/realtime/domestic/stock/095610</t>
  </si>
  <si>
    <t>https://comp.wisereport.co.kr/company/ajax/c1050001_data.aspx?flag=2&amp;cmp_cd=095610&amp;finGubun=MAIN&amp;frq=0&amp;sDT=20261014&amp;chartType=image</t>
  </si>
  <si>
    <t>https://polling.finance.naver.com/api/realtime/domestic/stock/064760</t>
  </si>
  <si>
    <t>https://comp.wisereport.co.kr/company/ajax/c1050001_data.aspx?flag=2&amp;cmp_cd=064760&amp;finGubun=MAIN&amp;frq=0&amp;sDT=20261014&amp;chartType=image</t>
  </si>
  <si>
    <t>https://polling.finance.naver.com/api/realtime/domestic/stock/094360</t>
  </si>
  <si>
    <t>https://comp.wisereport.co.kr/company/ajax/c1050001_data.aspx?flag=2&amp;cmp_cd=094360&amp;finGubun=MAIN&amp;frq=0&amp;sDT=20261014&amp;chartType=image</t>
  </si>
  <si>
    <t>https://polling.finance.naver.com/api/realtime/domestic/stock/445090</t>
  </si>
  <si>
    <t>https://comp.wisereport.co.kr/company/ajax/c1050001_data.aspx?flag=2&amp;cmp_cd=445090&amp;finGubun=MAIN&amp;frq=0&amp;sDT=20261014&amp;chartType=image</t>
  </si>
  <si>
    <t>https://polling.finance.naver.com/api/realtime/domestic/stock/131970</t>
  </si>
  <si>
    <t>https://comp.wisereport.co.kr/company/ajax/c1050001_data.aspx?flag=2&amp;cmp_cd=131970&amp;finGubun=MAIN&amp;frq=0&amp;sDT=20261014&amp;chartType=image</t>
  </si>
  <si>
    <t>https://polling.finance.naver.com/api/realtime/domestic/stock/084370</t>
  </si>
  <si>
    <t>https://comp.wisereport.co.kr/company/ajax/c1050001_data.aspx?flag=2&amp;cmp_cd=084370&amp;finGubun=MAIN&amp;frq=0&amp;sDT=20261014&amp;chartType=image</t>
  </si>
  <si>
    <t>https://polling.finance.naver.com/api/realtime/domestic/stock/058470</t>
  </si>
  <si>
    <t>https://comp.wisereport.co.kr/company/ajax/c1050001_data.aspx?flag=2&amp;cmp_cd=058470&amp;finGubun=MAIN&amp;frq=0&amp;sDT=20261014&amp;chartType=image</t>
  </si>
  <si>
    <t>https://polling.finance.naver.com/api/realtime/domestic/stock/240810</t>
  </si>
  <si>
    <t>https://comp.wisereport.co.kr/company/ajax/c1050001_data.aspx?flag=2&amp;cmp_cd=240810&amp;finGubun=MAIN&amp;frq=0&amp;sDT=20261014&amp;chartType=image</t>
  </si>
  <si>
    <t>https://polling.finance.naver.com/api/realtime/domestic/stock/036540</t>
  </si>
  <si>
    <t>https://comp.wisereport.co.kr/company/ajax/c1050001_data.aspx?flag=2&amp;cmp_cd=036540&amp;finGubun=MAIN&amp;frq=0&amp;sDT=20261014&amp;chartType=image</t>
  </si>
  <si>
    <t>https://polling.finance.naver.com/api/realtime/domestic/stock/036810</t>
  </si>
  <si>
    <t>https://comp.wisereport.co.kr/company/ajax/c1050001_data.aspx?flag=2&amp;cmp_cd=036810&amp;finGubun=MAIN&amp;frq=0&amp;sDT=20261014&amp;chartType=image</t>
  </si>
  <si>
    <t>https://polling.finance.naver.com/api/realtime/domestic/stock/403870</t>
  </si>
  <si>
    <t>https://comp.wisereport.co.kr/company/ajax/c1050001_data.aspx?flag=2&amp;cmp_cd=403870&amp;finGubun=MAIN&amp;frq=0&amp;sDT=20261014&amp;chartType=image</t>
  </si>
  <si>
    <t>https://polling.finance.naver.com/api/realtime/domestic/stock/232140</t>
  </si>
  <si>
    <t>https://comp.wisereport.co.kr/company/ajax/c1050001_data.aspx?flag=2&amp;cmp_cd=232140&amp;finGubun=MAIN&amp;frq=0&amp;sDT=20261014&amp;chartType=image</t>
  </si>
  <si>
    <t>https://polling.finance.naver.com/api/realtime/domestic/stock/095340</t>
  </si>
  <si>
    <t>https://comp.wisereport.co.kr/company/ajax/c1050001_data.aspx?flag=2&amp;cmp_cd=095340&amp;finGubun=MAIN&amp;frq=0&amp;sDT=20261014&amp;chartType=image</t>
  </si>
  <si>
    <t>https://polling.finance.naver.com/api/realtime/domestic/stock/140860</t>
  </si>
  <si>
    <t>https://comp.wisereport.co.kr/company/ajax/c1050001_data.aspx?flag=2&amp;cmp_cd=140860&amp;finGubun=MAIN&amp;frq=0&amp;sDT=20261014&amp;chartType=image</t>
  </si>
  <si>
    <t>https://polling.finance.naver.com/api/realtime/domestic/stock/039030</t>
  </si>
  <si>
    <t>https://comp.wisereport.co.kr/company/ajax/c1050001_data.aspx?flag=2&amp;cmp_cd=039030&amp;finGubun=MAIN&amp;frq=0&amp;sDT=20261014&amp;chartType=image</t>
  </si>
  <si>
    <t>https://polling.finance.naver.com/api/realtime/domestic/stock/098460</t>
  </si>
  <si>
    <t>https://comp.wisereport.co.kr/company/ajax/c1050001_data.aspx?flag=2&amp;cmp_cd=098460&amp;finGubun=MAIN&amp;frq=0&amp;sDT=20261014&amp;chartType=image</t>
  </si>
  <si>
    <t>https://polling.finance.naver.com/api/realtime/domestic/stock/042700</t>
  </si>
  <si>
    <t>https://comp.wisereport.co.kr/company/ajax/c1050001_data.aspx?flag=2&amp;cmp_cd=042700&amp;finGubun=MAIN&amp;frq=0&amp;sDT=20261014&amp;chartType=image</t>
  </si>
  <si>
    <t>출처 불일치: 검색 색인에 2027E ROE 44.26%가 있으나 현재 기업현황 및 10/14 연결·별도 컨센서스 응답은 공란. 적용 기준일 미확인으로 반영 보류. 색인 출처: https://comp.wisereport.co.kr/bsfn/company/c1010001.aspx?cmp_cd=042700</t>
  </si>
  <si>
    <t>FnGuide 2027E 일부 또는 전체 미확인</t>
  </si>
  <si>
    <t>https://polling.finance.naver.com/api/realtime/domestic/stock/036930</t>
  </si>
  <si>
    <t>https://comp.wisereport.co.kr/company/ajax/c1050001_data.aspx?flag=2&amp;cmp_cd=036930&amp;finGubun=MAIN&amp;frq=0&amp;sDT=20261014&amp;chartType=image</t>
  </si>
  <si>
    <t>https://comp.wisereport.co.kr/company/c1050001.aspx?cmp_cd=098120</t>
  </si>
  <si>
    <t>https://polling.finance.naver.com/api/realtime/domestic/stock/098120</t>
  </si>
  <si>
    <t>https://comp.wisereport.co.kr/company/ajax/c1050001_data.aspx?flag=2&amp;cmp_cd=098120&amp;finGubun=MAIN&amp;frq=0&amp;sDT=20261014&amp;chartType=image</t>
  </si>
  <si>
    <t>기존 조회자료에서 2027년 이익·ROE 추정치 모두 미확인. 자료 부재를 0%로 처리하지 않음.</t>
  </si>
  <si>
    <t>https://comp.wisereport.co.kr/company/c1050001.aspx?cmp_cd=085910</t>
  </si>
  <si>
    <t>https://polling.finance.naver.com/api/realtime/domestic/stock/085910</t>
  </si>
  <si>
    <t>https://comp.wisereport.co.kr/company/ajax/c1050001_data.aspx?flag=2&amp;cmp_cd=085910&amp;finGubun=MAIN&amp;frq=0&amp;sDT=20261014&amp;chartType=image</t>
  </si>
  <si>
    <t>https://comp.wisereport.co.kr/company/c1050001.aspx?cmp_cd=043260</t>
  </si>
  <si>
    <t>https://polling.finance.naver.com/api/realtime/domestic/stock/043260</t>
  </si>
  <si>
    <t>https://comp.wisereport.co.kr/company/ajax/c1050001_data.aspx?flag=2&amp;cmp_cd=043260&amp;finGubun=MAIN&amp;frq=0&amp;sDT=20261014&amp;chartType=image</t>
  </si>
  <si>
    <t>https://comp.wisereport.co.kr/company/c1050001.aspx?cmp_cd=327260</t>
  </si>
  <si>
    <t>https://polling.finance.naver.com/api/realtime/domestic/stock/327260</t>
  </si>
  <si>
    <t>https://comp.wisereport.co.kr/company/ajax/c1050001_data.aspx?flag=2&amp;cmp_cd=327260&amp;finGubun=MAIN&amp;frq=0&amp;sDT=20261014&amp;chartType=image</t>
  </si>
  <si>
    <t>https://comp.wisereport.co.kr/company/c1050001.aspx?cmp_cd=009150</t>
  </si>
  <si>
    <t>https://polling.finance.naver.com/api/realtime/domestic/stock/009150</t>
  </si>
  <si>
    <t>https://comp.wisereport.co.kr/company/ajax/c1050001_data.aspx?flag=2&amp;cmp_cd=009150&amp;finGubun=MAIN&amp;frq=0&amp;sDT=20261014&amp;chartType=image</t>
  </si>
  <si>
    <t>https://comp.wisereport.co.kr/company/c1050001.aspx?cmp_cd=089030</t>
  </si>
  <si>
    <t>https://polling.finance.naver.com/api/realtime/domestic/stock/089030</t>
  </si>
  <si>
    <t>https://comp.wisereport.co.kr/company/ajax/c1050001_data.aspx?flag=2&amp;cmp_cd=089030&amp;finGubun=MAIN&amp;frq=0&amp;sDT=20261014&amp;chartType=image</t>
  </si>
  <si>
    <t>https://comp.wisereport.co.kr/company/c1050001.aspx?cmp_cd=079370</t>
  </si>
  <si>
    <t>https://polling.finance.naver.com/api/realtime/domestic/stock/079370</t>
  </si>
  <si>
    <t>https://comp.wisereport.co.kr/company/ajax/c1050001_data.aspx?flag=2&amp;cmp_cd=079370&amp;finGubun=MAIN&amp;frq=0&amp;sDT=20261014&amp;chartType=image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</si>
</sst>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.0;\(#,##0.0\);&quot;-&quot;"/>
    <numFmt numFmtId="177" formatCode="#,##0;\(#,##0\);&quot;-&quot;"/>
    <numFmt numFmtId="178" formatCode="0.0&quot;x&quot;"/>
    <numFmt numFmtId="179" formatCode="000000"/>
    <numFmt numFmtId="180" formatCode="0.0%"/>
    <numFmt numFmtId="181" formatCode="#,##0.0;\(#,##0.0\);\-"/>
    <numFmt numFmtId="182" formatCode="0.0%;\(0.0%\);\-"/>
  </numFmts>
  <fonts count="14">
    <font>
      <sz val="11"/>
      <name val="Carlito"/>
    </font>
    <font>
      <sz val="10"/>
      <name val="NanumGothic"/>
    </font>
    <font>
      <b/>
      <sz val="15"/>
      <name val="NanumGothic"/>
    </font>
    <font>
      <b/>
      <sz val="10"/>
      <color rgb="FFFFFFFF"/>
      <name val="NanumGothic"/>
    </font>
    <font>
      <sz val="10"/>
      <color rgb="FF0000FF"/>
      <name val="NanumGothic"/>
    </font>
    <font>
      <sz val="10"/>
      <color rgb="FF000000"/>
      <name val="NanumGothic"/>
    </font>
    <font>
      <sz val="11"/>
      <name val="NanumGothic"/>
    </font>
    <font>
      <sz val="11"/>
      <name val="Carlito"/>
    </font>
    <font>
      <b/>
      <sz val="10"/>
      <name val="NanumGothic"/>
    </font>
    <font>
      <b/>
      <sz val="10"/>
      <name val="NanumGothic"/>
      <family val="3"/>
    </font>
    <font>
      <b/>
      <sz val="10"/>
      <color rgb="FF000000"/>
      <name val="NanumGothic"/>
      <family val="3"/>
    </font>
    <font>
      <sz val="8"/>
      <name val="돋움"/>
      <family val="3"/>
      <charset val="129"/>
    </font>
    <font>
      <sz val="10"/>
      <name val="NanumGothic"/>
      <family val="3"/>
    </font>
    <font>
      <sz val="10"/>
      <color rgb="FF000000"/>
      <name val="NanumGothic"/>
      <family val="3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183B56"/>
      </patternFill>
    </fill>
    <fill>
      <patternFill patternType="solid">
        <fgColor rgb="FFC0E6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83B56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84">
    <xf numFmtId="0" fontId="0" fillId="0" borderId="0" xfId="0"/>
    <xf numFmtId="0" fontId="1" fillId="0" borderId="0" xfId="1" applyFont="1"/>
    <xf numFmtId="0" fontId="2" fillId="0" borderId="0" xfId="1" applyFont="1"/>
    <xf numFmtId="0" fontId="3" fillId="3" borderId="0" xfId="1" applyFont="1" applyFill="1" applyAlignment="1">
      <alignment horizontal="center"/>
    </xf>
    <xf numFmtId="0" fontId="1" fillId="0" borderId="0" xfId="1" applyFont="1" applyAlignment="1">
      <alignment vertical="center"/>
    </xf>
    <xf numFmtId="176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3" fontId="4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0" fontId="3" fillId="3" borderId="0" xfId="1" applyFont="1" applyFill="1" applyAlignment="1">
      <alignment horizontal="center" vertical="center"/>
    </xf>
    <xf numFmtId="180" fontId="4" fillId="0" borderId="0" xfId="1" applyNumberFormat="1" applyFont="1" applyAlignment="1">
      <alignment vertical="center"/>
    </xf>
    <xf numFmtId="0" fontId="3" fillId="4" borderId="0" xfId="1" applyFont="1" applyFill="1" applyAlignment="1">
      <alignment horizontal="center" vertical="center"/>
    </xf>
    <xf numFmtId="0" fontId="5" fillId="0" borderId="0" xfId="1" applyFont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6" fillId="0" borderId="0" xfId="1" applyFont="1" applyAlignment="1">
      <alignment vertical="center" wrapText="1"/>
    </xf>
    <xf numFmtId="0" fontId="3" fillId="9" borderId="0" xfId="1" applyFont="1" applyFill="1" applyAlignment="1">
      <alignment horizontal="center" vertical="center" wrapText="1"/>
    </xf>
    <xf numFmtId="181" fontId="4" fillId="0" borderId="0" xfId="1" applyNumberFormat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179" fontId="1" fillId="6" borderId="0" xfId="1" applyNumberFormat="1" applyFont="1" applyFill="1" applyAlignment="1">
      <alignment horizontal="center" vertical="center"/>
    </xf>
    <xf numFmtId="177" fontId="1" fillId="6" borderId="0" xfId="1" applyNumberFormat="1" applyFont="1" applyFill="1" applyAlignment="1">
      <alignment horizontal="center" vertical="center"/>
    </xf>
    <xf numFmtId="181" fontId="5" fillId="6" borderId="0" xfId="1" applyNumberFormat="1" applyFont="1" applyFill="1" applyAlignment="1">
      <alignment horizontal="center" vertical="center"/>
    </xf>
    <xf numFmtId="178" fontId="1" fillId="6" borderId="0" xfId="1" applyNumberFormat="1" applyFont="1" applyFill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179" fontId="1" fillId="7" borderId="0" xfId="1" applyNumberFormat="1" applyFont="1" applyFill="1" applyAlignment="1">
      <alignment horizontal="center" vertical="center"/>
    </xf>
    <xf numFmtId="177" fontId="1" fillId="7" borderId="0" xfId="1" applyNumberFormat="1" applyFont="1" applyFill="1" applyAlignment="1">
      <alignment horizontal="center" vertical="center"/>
    </xf>
    <xf numFmtId="181" fontId="5" fillId="7" borderId="0" xfId="1" applyNumberFormat="1" applyFont="1" applyFill="1" applyAlignment="1">
      <alignment horizontal="center" vertical="center"/>
    </xf>
    <xf numFmtId="178" fontId="1" fillId="7" borderId="0" xfId="1" applyNumberFormat="1" applyFont="1" applyFill="1" applyAlignment="1">
      <alignment horizontal="center" vertical="center"/>
    </xf>
    <xf numFmtId="0" fontId="1" fillId="8" borderId="0" xfId="1" applyFont="1" applyFill="1" applyAlignment="1">
      <alignment horizontal="center" vertical="center"/>
    </xf>
    <xf numFmtId="179" fontId="1" fillId="8" borderId="0" xfId="1" applyNumberFormat="1" applyFont="1" applyFill="1" applyAlignment="1">
      <alignment horizontal="center" vertical="center"/>
    </xf>
    <xf numFmtId="177" fontId="1" fillId="8" borderId="0" xfId="1" applyNumberFormat="1" applyFont="1" applyFill="1" applyAlignment="1">
      <alignment horizontal="center" vertical="center"/>
    </xf>
    <xf numFmtId="181" fontId="5" fillId="2" borderId="0" xfId="1" applyNumberFormat="1" applyFont="1" applyFill="1" applyAlignment="1">
      <alignment horizontal="center" vertical="center"/>
    </xf>
    <xf numFmtId="178" fontId="1" fillId="8" borderId="0" xfId="1" applyNumberFormat="1" applyFont="1" applyFill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182" fontId="5" fillId="6" borderId="2" xfId="1" applyNumberFormat="1" applyFont="1" applyFill="1" applyBorder="1" applyAlignment="1">
      <alignment horizontal="center" vertical="center"/>
    </xf>
    <xf numFmtId="182" fontId="5" fillId="7" borderId="2" xfId="1" applyNumberFormat="1" applyFont="1" applyFill="1" applyBorder="1" applyAlignment="1">
      <alignment horizontal="center" vertical="center"/>
    </xf>
    <xf numFmtId="182" fontId="5" fillId="2" borderId="2" xfId="1" applyNumberFormat="1" applyFont="1" applyFill="1" applyBorder="1" applyAlignment="1">
      <alignment horizontal="center" vertical="center"/>
    </xf>
    <xf numFmtId="182" fontId="5" fillId="2" borderId="3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78" fontId="1" fillId="6" borderId="7" xfId="1" applyNumberFormat="1" applyFont="1" applyFill="1" applyBorder="1" applyAlignment="1">
      <alignment horizontal="center" vertical="center"/>
    </xf>
    <xf numFmtId="180" fontId="5" fillId="6" borderId="8" xfId="1" applyNumberFormat="1" applyFont="1" applyFill="1" applyBorder="1" applyAlignment="1">
      <alignment horizontal="center" vertical="center"/>
    </xf>
    <xf numFmtId="178" fontId="1" fillId="7" borderId="7" xfId="1" applyNumberFormat="1" applyFont="1" applyFill="1" applyBorder="1" applyAlignment="1">
      <alignment horizontal="center" vertical="center"/>
    </xf>
    <xf numFmtId="180" fontId="5" fillId="7" borderId="8" xfId="1" applyNumberFormat="1" applyFont="1" applyFill="1" applyBorder="1" applyAlignment="1">
      <alignment horizontal="center" vertical="center"/>
    </xf>
    <xf numFmtId="178" fontId="1" fillId="8" borderId="7" xfId="1" applyNumberFormat="1" applyFont="1" applyFill="1" applyBorder="1" applyAlignment="1">
      <alignment horizontal="center" vertical="center"/>
    </xf>
    <xf numFmtId="180" fontId="5" fillId="8" borderId="8" xfId="1" applyNumberFormat="1" applyFont="1" applyFill="1" applyBorder="1" applyAlignment="1">
      <alignment horizontal="center" vertical="center"/>
    </xf>
    <xf numFmtId="178" fontId="1" fillId="8" borderId="9" xfId="1" applyNumberFormat="1" applyFont="1" applyFill="1" applyBorder="1" applyAlignment="1">
      <alignment horizontal="center" vertical="center"/>
    </xf>
    <xf numFmtId="178" fontId="1" fillId="8" borderId="10" xfId="1" applyNumberFormat="1" applyFont="1" applyFill="1" applyBorder="1" applyAlignment="1">
      <alignment horizontal="center" vertical="center"/>
    </xf>
    <xf numFmtId="180" fontId="5" fillId="8" borderId="11" xfId="1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7" borderId="0" xfId="1" applyFont="1" applyFill="1" applyAlignment="1">
      <alignment horizontal="center" vertical="center"/>
    </xf>
    <xf numFmtId="179" fontId="9" fillId="7" borderId="0" xfId="1" applyNumberFormat="1" applyFont="1" applyFill="1" applyAlignment="1">
      <alignment horizontal="center" vertical="center"/>
    </xf>
    <xf numFmtId="177" fontId="9" fillId="7" borderId="0" xfId="1" applyNumberFormat="1" applyFont="1" applyFill="1" applyAlignment="1">
      <alignment horizontal="center" vertical="center"/>
    </xf>
    <xf numFmtId="181" fontId="10" fillId="7" borderId="0" xfId="1" applyNumberFormat="1" applyFont="1" applyFill="1" applyAlignment="1">
      <alignment horizontal="center" vertical="center"/>
    </xf>
    <xf numFmtId="182" fontId="10" fillId="7" borderId="2" xfId="1" applyNumberFormat="1" applyFont="1" applyFill="1" applyBorder="1" applyAlignment="1">
      <alignment horizontal="center" vertical="center"/>
    </xf>
    <xf numFmtId="178" fontId="9" fillId="7" borderId="7" xfId="1" applyNumberFormat="1" applyFont="1" applyFill="1" applyBorder="1" applyAlignment="1">
      <alignment horizontal="center" vertical="center"/>
    </xf>
    <xf numFmtId="178" fontId="9" fillId="7" borderId="0" xfId="1" applyNumberFormat="1" applyFont="1" applyFill="1" applyAlignment="1">
      <alignment horizontal="center" vertical="center"/>
    </xf>
    <xf numFmtId="180" fontId="10" fillId="7" borderId="8" xfId="1" applyNumberFormat="1" applyFont="1" applyFill="1" applyBorder="1" applyAlignment="1">
      <alignment horizontal="center" vertical="center"/>
    </xf>
    <xf numFmtId="0" fontId="9" fillId="6" borderId="0" xfId="1" applyFont="1" applyFill="1" applyAlignment="1">
      <alignment horizontal="center" vertical="center"/>
    </xf>
    <xf numFmtId="179" fontId="9" fillId="6" borderId="0" xfId="1" applyNumberFormat="1" applyFont="1" applyFill="1" applyAlignment="1">
      <alignment horizontal="center" vertical="center"/>
    </xf>
    <xf numFmtId="177" fontId="9" fillId="6" borderId="0" xfId="1" applyNumberFormat="1" applyFont="1" applyFill="1" applyAlignment="1">
      <alignment horizontal="center" vertical="center"/>
    </xf>
    <xf numFmtId="181" fontId="10" fillId="6" borderId="0" xfId="1" applyNumberFormat="1" applyFont="1" applyFill="1" applyAlignment="1">
      <alignment horizontal="center" vertical="center"/>
    </xf>
    <xf numFmtId="182" fontId="10" fillId="6" borderId="2" xfId="1" applyNumberFormat="1" applyFont="1" applyFill="1" applyBorder="1" applyAlignment="1">
      <alignment horizontal="center" vertical="center"/>
    </xf>
    <xf numFmtId="178" fontId="9" fillId="6" borderId="7" xfId="1" applyNumberFormat="1" applyFont="1" applyFill="1" applyBorder="1" applyAlignment="1">
      <alignment horizontal="center" vertical="center"/>
    </xf>
    <xf numFmtId="178" fontId="9" fillId="6" borderId="0" xfId="1" applyNumberFormat="1" applyFont="1" applyFill="1" applyAlignment="1">
      <alignment horizontal="center" vertical="center"/>
    </xf>
    <xf numFmtId="180" fontId="10" fillId="6" borderId="8" xfId="1" applyNumberFormat="1" applyFont="1" applyFill="1" applyBorder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179" fontId="9" fillId="8" borderId="0" xfId="1" applyNumberFormat="1" applyFont="1" applyFill="1" applyAlignment="1">
      <alignment horizontal="center" vertical="center"/>
    </xf>
    <xf numFmtId="177" fontId="9" fillId="8" borderId="0" xfId="1" applyNumberFormat="1" applyFont="1" applyFill="1" applyAlignment="1">
      <alignment horizontal="center" vertical="center"/>
    </xf>
    <xf numFmtId="181" fontId="10" fillId="2" borderId="0" xfId="1" applyNumberFormat="1" applyFont="1" applyFill="1" applyAlignment="1">
      <alignment horizontal="center" vertical="center"/>
    </xf>
    <xf numFmtId="182" fontId="10" fillId="2" borderId="2" xfId="1" applyNumberFormat="1" applyFont="1" applyFill="1" applyBorder="1" applyAlignment="1">
      <alignment horizontal="center" vertical="center"/>
    </xf>
    <xf numFmtId="178" fontId="9" fillId="8" borderId="7" xfId="1" applyNumberFormat="1" applyFont="1" applyFill="1" applyBorder="1" applyAlignment="1">
      <alignment horizontal="center" vertical="center"/>
    </xf>
    <xf numFmtId="178" fontId="9" fillId="8" borderId="0" xfId="1" applyNumberFormat="1" applyFont="1" applyFill="1" applyAlignment="1">
      <alignment horizontal="center" vertical="center"/>
    </xf>
    <xf numFmtId="180" fontId="10" fillId="8" borderId="8" xfId="1" applyNumberFormat="1" applyFont="1" applyFill="1" applyBorder="1" applyAlignment="1">
      <alignment horizontal="center" vertical="center"/>
    </xf>
    <xf numFmtId="179" fontId="12" fillId="7" borderId="0" xfId="1" applyNumberFormat="1" applyFont="1" applyFill="1" applyAlignment="1">
      <alignment horizontal="center" vertical="center"/>
    </xf>
    <xf numFmtId="177" fontId="12" fillId="7" borderId="0" xfId="1" applyNumberFormat="1" applyFont="1" applyFill="1" applyAlignment="1">
      <alignment horizontal="center" vertical="center"/>
    </xf>
    <xf numFmtId="181" fontId="13" fillId="7" borderId="0" xfId="1" applyNumberFormat="1" applyFont="1" applyFill="1" applyAlignment="1">
      <alignment horizontal="center" vertical="center"/>
    </xf>
    <xf numFmtId="182" fontId="13" fillId="7" borderId="2" xfId="1" applyNumberFormat="1" applyFont="1" applyFill="1" applyBorder="1" applyAlignment="1">
      <alignment horizontal="center" vertical="center"/>
    </xf>
    <xf numFmtId="178" fontId="12" fillId="7" borderId="7" xfId="1" applyNumberFormat="1" applyFont="1" applyFill="1" applyBorder="1" applyAlignment="1">
      <alignment horizontal="center" vertical="center"/>
    </xf>
    <xf numFmtId="178" fontId="12" fillId="7" borderId="0" xfId="1" applyNumberFormat="1" applyFont="1" applyFill="1" applyAlignment="1">
      <alignment horizontal="center" vertical="center"/>
    </xf>
    <xf numFmtId="180" fontId="13" fillId="7" borderId="8" xfId="1" applyNumberFormat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1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anumGothic"/>
        <scheme val="none"/>
      </font>
      <numFmt numFmtId="182" formatCode="0.0%;\(0.0%\);\-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anumGothic"/>
        <scheme val="none"/>
      </font>
      <numFmt numFmtId="181" formatCode="#,##0.0;\(#,##0.0\);\-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anumGothic"/>
        <scheme val="none"/>
      </font>
      <numFmt numFmtId="182" formatCode="0.0%;\(0.0%\);\-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NanumGothic"/>
        <scheme val="none"/>
      </font>
      <numFmt numFmtId="181" formatCode="#,##0.0;\(#,##0.0\);\-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ValuationTable" displayName="ValuationTable" ref="A9:Q99" totalsRowShown="0" headerRowDxfId="18" dataDxfId="17">
  <sortState xmlns:xlrd2="http://schemas.microsoft.com/office/spreadsheetml/2017/richdata2" ref="A10:Q99">
    <sortCondition descending="1" ref="H9:H99"/>
  </sortState>
  <tableColumns count="17">
    <tableColumn id="1" xr3:uid="{00000000-0010-0000-0000-000001000000}" name="순위" dataDxfId="16"/>
    <tableColumn id="2" xr3:uid="{00000000-0010-0000-0000-000002000000}" name="종목" dataDxfId="15"/>
    <tableColumn id="3" xr3:uid="{00000000-0010-0000-0000-000003000000}" name="코드" dataDxfId="14"/>
    <tableColumn id="4" xr3:uid="{00000000-0010-0000-0000-000004000000}" name="10/15 종가" dataDxfId="13"/>
    <tableColumn id="5" xr3:uid="{00000000-0010-0000-0000-000005000000}" name="시가총액" dataDxfId="12"/>
    <tableColumn id="14" xr3:uid="{00000000-0010-0000-0000-00000E000000}" name="26E 순이익" dataDxfId="11" dataCellStyle="Normal"/>
    <tableColumn id="6" xr3:uid="{00000000-0010-0000-0000-000006000000}" name="27E 순이익" dataDxfId="10"/>
    <tableColumn id="15" xr3:uid="{00000000-0010-0000-0000-00000F000000}" name="27E 순이익 YoY" dataDxfId="9" dataCellStyle="Normal">
      <calculatedColumnFormula>IF(AND(ISNUMBER(F10),ISNUMBER(G10)),IF(F10=0,IF(G10&gt;0,"흑자전환",IF(G10=0,"손익분기","미확인")),IF(F10&lt;0,IF(G10&gt;0,"흑자전환",IF(G10=0,"손익분기","적자지속")),IF(G10&lt;0,"적자전환",IF(G10=0,-1,G10/F10-1)))),"미확인")</calculatedColumnFormula>
    </tableColumn>
    <tableColumn id="16" xr3:uid="{00000000-0010-0000-0000-000010000000}" name="26E 영업이익" dataDxfId="8" dataCellStyle="Normal"/>
    <tableColumn id="7" xr3:uid="{00000000-0010-0000-0000-000007000000}" name="27E 영업이익" dataDxfId="7"/>
    <tableColumn id="17" xr3:uid="{00000000-0010-0000-0000-000011000000}" name="27E 영업이익 YoY" dataDxfId="6" dataCellStyle="Normal">
      <calculatedColumnFormula>IF(AND(ISNUMBER(I10),ISNUMBER(J10)),IF(I10=0,IF(J10&gt;0,"흑자전환",IF(J10=0,"손익분기","미확인")),IF(I10&lt;0,IF(J10&gt;0,"흑자전환",IF(J10=0,"손익분기","적자지속")),IF(J10&lt;0,"적자전환",IF(J10=0,-1,J10/I10-1)))),"미확인")</calculatedColumnFormula>
    </tableColumn>
    <tableColumn id="8" xr3:uid="{00000000-0010-0000-0000-000008000000}" name="27E PER" dataDxfId="5"/>
    <tableColumn id="9" xr3:uid="{00000000-0010-0000-0000-000009000000}" name="27E POR" dataDxfId="4"/>
    <tableColumn id="10" xr3:uid="{00000000-0010-0000-0000-00000A000000}" name="27E ROE" dataDxfId="3"/>
    <tableColumn id="11" xr3:uid="{00000000-0010-0000-0000-00000B000000}" name="원표 PER" dataDxfId="2"/>
    <tableColumn id="12" xr3:uid="{00000000-0010-0000-0000-00000C000000}" name="원표 POR" dataDxfId="1"/>
    <tableColumn id="13" xr3:uid="{00000000-0010-0000-0000-00000D000000}" name="구분 / 순이익 기준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SourceTable" displayName="SourceTable" ref="A9:X99" totalsRowShown="0">
  <tableColumns count="24">
    <tableColumn id="1" xr3:uid="{00000000-0010-0000-0100-000001000000}" name="종목"/>
    <tableColumn id="2" xr3:uid="{00000000-0010-0000-0100-000002000000}" name="코드"/>
    <tableColumn id="3" xr3:uid="{00000000-0010-0000-0100-000003000000}" name="원표 시총"/>
    <tableColumn id="4" xr3:uid="{00000000-0010-0000-0100-000004000000}" name="27E 순이익"/>
    <tableColumn id="5" xr3:uid="{00000000-0010-0000-0100-000005000000}" name="27E 영업이익"/>
    <tableColumn id="6" xr3:uid="{00000000-0010-0000-0100-000006000000}" name="원표 PER"/>
    <tableColumn id="7" xr3:uid="{00000000-0010-0000-0100-000007000000}" name="원표 POR"/>
    <tableColumn id="8" xr3:uid="{00000000-0010-0000-0100-000008000000}" name="†"/>
    <tableColumn id="9" xr3:uid="{00000000-0010-0000-0100-000009000000}" name="10/15 종가"/>
    <tableColumn id="10" xr3:uid="{00000000-0010-0000-0100-00000A000000}" name="상장주식 수"/>
    <tableColumn id="11" xr3:uid="{00000000-0010-0000-0100-00000B000000}" name="주가 기준"/>
    <tableColumn id="12" xr3:uid="{00000000-0010-0000-0100-00000C000000}" name="실적 출처"/>
    <tableColumn id="13" xr3:uid="{00000000-0010-0000-0100-00000D000000}" name="시세 출처"/>
    <tableColumn id="14" xr3:uid="{00000000-0010-0000-0100-00000E000000}" name="종가 확인 출처"/>
    <tableColumn id="15" xr3:uid="{00000000-0010-0000-0100-00000F000000}" name="27E ROE"/>
    <tableColumn id="16" xr3:uid="{00000000-0010-0000-0100-000010000000}" name="ROE 재무기준"/>
    <tableColumn id="17" xr3:uid="{00000000-0010-0000-0100-000011000000}" name="ROE 기준일"/>
    <tableColumn id="18" xr3:uid="{00000000-0010-0000-0100-000012000000}" name="ROE 출처"/>
    <tableColumn id="19" xr3:uid="{00000000-0010-0000-0100-000013000000}" name="ROE 재검토 결과 (10/15)"/>
    <tableColumn id="20" xr3:uid="{00000000-0010-0000-0100-000014000000}" name="26E 순이익 (억원)"/>
    <tableColumn id="21" xr3:uid="{00000000-0010-0000-0100-000015000000}" name="26E 영업이익 (억원)"/>
    <tableColumn id="22" xr3:uid="{00000000-0010-0000-0100-000016000000}" name="26E 회계기준"/>
    <tableColumn id="23" xr3:uid="{00000000-0010-0000-0100-000017000000}" name="26E 출처 (10/14)"/>
    <tableColumn id="24" xr3:uid="{00000000-0010-0000-0100-000018000000}" name="27E 추정치 교차점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5"/>
  <sheetViews>
    <sheetView showGridLines="0" tabSelected="1" workbookViewId="0">
      <pane xSplit="2" ySplit="9" topLeftCell="C52" activePane="bottomRight" state="frozen"/>
      <selection pane="topRight"/>
      <selection pane="bottomLeft"/>
      <selection pane="bottomRight" activeCell="L66" sqref="L66"/>
    </sheetView>
  </sheetViews>
  <sheetFormatPr defaultRowHeight="14.25"/>
  <cols>
    <col min="1" max="1" width="7" customWidth="1"/>
    <col min="2" max="2" width="23" customWidth="1"/>
    <col min="3" max="3" width="10" customWidth="1"/>
    <col min="4" max="12" width="14" customWidth="1"/>
    <col min="13" max="13" width="26" customWidth="1"/>
    <col min="14" max="17" width="18" customWidth="1"/>
  </cols>
  <sheetData>
    <row r="1" spans="1:22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1.9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1.95" customHeight="1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1.95" customHeight="1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1.95" customHeight="1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1.95" customHeight="1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1.95" customHeight="1" thickBot="1">
      <c r="A8" s="1" t="s">
        <v>6</v>
      </c>
      <c r="B8" s="1"/>
      <c r="C8" s="1"/>
      <c r="D8" s="1"/>
      <c r="E8" s="1"/>
      <c r="F8" s="1"/>
      <c r="G8" s="1"/>
      <c r="H8" s="1"/>
      <c r="I8" s="1"/>
      <c r="J8" s="1" t="s">
        <v>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30" customHeight="1">
      <c r="A9" s="10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6" t="s">
        <v>21</v>
      </c>
      <c r="G9" s="10" t="s">
        <v>13</v>
      </c>
      <c r="H9" s="34" t="s">
        <v>22</v>
      </c>
      <c r="I9" s="16" t="s">
        <v>23</v>
      </c>
      <c r="J9" s="10" t="s">
        <v>14</v>
      </c>
      <c r="K9" s="34" t="s">
        <v>24</v>
      </c>
      <c r="L9" s="39" t="s">
        <v>15</v>
      </c>
      <c r="M9" s="40" t="s">
        <v>16</v>
      </c>
      <c r="N9" s="41" t="s">
        <v>17</v>
      </c>
      <c r="O9" s="10" t="s">
        <v>18</v>
      </c>
      <c r="P9" s="10" t="s">
        <v>19</v>
      </c>
      <c r="Q9" s="10" t="s">
        <v>20</v>
      </c>
      <c r="R9" s="1"/>
      <c r="S9" s="1"/>
    </row>
    <row r="10" spans="1:22" ht="21.95" customHeight="1">
      <c r="A10" s="51">
        <v>55</v>
      </c>
      <c r="B10" s="68" t="s">
        <v>136</v>
      </c>
      <c r="C10" s="61" t="s">
        <v>137</v>
      </c>
      <c r="D10" s="62">
        <f>원자료!I67</f>
        <v>15450</v>
      </c>
      <c r="E10" s="62">
        <f>D10*원자료!J67/100000000</f>
        <v>5256.93048</v>
      </c>
      <c r="F10" s="63">
        <f>IF(원자료!T67="","미확인",원자료!T67)</f>
        <v>-14.5</v>
      </c>
      <c r="G10" s="62">
        <f>IF(원자료!D67="","미확인",원자료!D67)</f>
        <v>337</v>
      </c>
      <c r="H10" s="64" t="str">
        <f t="shared" ref="H10:H41" si="0">IF(AND(ISNUMBER(F10),ISNUMBER(G10)),IF(F10=0,IF(G10&gt;0,"흑자전환",IF(G10=0,"손익분기","미확인")),IF(F10&lt;0,IF(G10&gt;0,"흑자전환",IF(G10=0,"손익분기","적자지속")),IF(G10&lt;0,"적자전환",IF(G10=0,-1,G10/F10-1)))),"미확인")</f>
        <v>흑자전환</v>
      </c>
      <c r="I10" s="63">
        <f>IF(원자료!U67="","미확인",원자료!U67)</f>
        <v>3</v>
      </c>
      <c r="J10" s="62">
        <f>IF(원자료!E67="","미확인",원자료!E67)</f>
        <v>358</v>
      </c>
      <c r="K10" s="64">
        <f t="shared" ref="K10:K41" si="1">IF(AND(ISNUMBER(I10),ISNUMBER(J10)),IF(I10=0,IF(J10&gt;0,"흑자전환",IF(J10=0,"손익분기","미확인")),IF(I10&lt;0,IF(J10&gt;0,"흑자전환",IF(J10=0,"손익분기","적자지속")),IF(J10&lt;0,"적자전환",IF(J10=0,-1,J10/I10-1)))),"미확인")</f>
        <v>118.33333333333333</v>
      </c>
      <c r="L10" s="65">
        <f t="shared" ref="L10:L41" si="2">IF(ISNUMBER(G10),IF(G10&gt;0,E10/G10,"적자"),"미산출")</f>
        <v>15.599200237388724</v>
      </c>
      <c r="M10" s="66">
        <f t="shared" ref="M10:M41" si="3">IF(ISNUMBER(J10),IF(J10&gt;0,E10/J10,"적자"),"미산출")</f>
        <v>14.684163351955307</v>
      </c>
      <c r="N10" s="67">
        <f>IF(원자료!O67="","미확인",원자료!O67)</f>
        <v>0.14380000000000001</v>
      </c>
      <c r="O10" s="66">
        <v>20.399999999999999</v>
      </c>
      <c r="P10" s="66">
        <v>19.2</v>
      </c>
      <c r="Q10" s="68" t="s">
        <v>27</v>
      </c>
      <c r="R10" s="1"/>
      <c r="S10" s="1"/>
    </row>
    <row r="11" spans="1:22" ht="21.95" customHeight="1">
      <c r="A11" s="18">
        <v>76</v>
      </c>
      <c r="B11" s="24" t="s">
        <v>178</v>
      </c>
      <c r="C11" s="25" t="s">
        <v>179</v>
      </c>
      <c r="D11" s="26">
        <f>원자료!I83</f>
        <v>8730</v>
      </c>
      <c r="E11" s="26">
        <f>D11*원자료!J83/100000000</f>
        <v>14357.384451899999</v>
      </c>
      <c r="F11" s="27">
        <f>IF(원자료!T83="","미확인",원자료!T83)</f>
        <v>-6.67</v>
      </c>
      <c r="G11" s="26">
        <f>IF(원자료!D83="","미확인",원자료!D83)</f>
        <v>633</v>
      </c>
      <c r="H11" s="36" t="str">
        <f t="shared" si="0"/>
        <v>흑자전환</v>
      </c>
      <c r="I11" s="27">
        <f>IF(원자료!U83="","미확인",원자료!U83)</f>
        <v>-55.8</v>
      </c>
      <c r="J11" s="26">
        <f>IF(원자료!E83="","미확인",원자료!E83)</f>
        <v>795</v>
      </c>
      <c r="K11" s="36" t="str">
        <f t="shared" si="1"/>
        <v>흑자전환</v>
      </c>
      <c r="L11" s="44">
        <f t="shared" si="2"/>
        <v>22.681492025118484</v>
      </c>
      <c r="M11" s="28">
        <f t="shared" si="3"/>
        <v>18.059603084150943</v>
      </c>
      <c r="N11" s="45">
        <f>IF(원자료!O83="","미확인",원자료!O83)</f>
        <v>0.126</v>
      </c>
      <c r="O11" s="28">
        <v>28.2</v>
      </c>
      <c r="P11" s="28">
        <v>22.4</v>
      </c>
      <c r="Q11" s="24" t="s">
        <v>27</v>
      </c>
      <c r="R11" s="1"/>
      <c r="S11" s="1"/>
    </row>
    <row r="12" spans="1:22" ht="21.95" customHeight="1">
      <c r="A12" s="18">
        <v>86</v>
      </c>
      <c r="B12" s="24" t="s">
        <v>198</v>
      </c>
      <c r="C12" s="25" t="s">
        <v>199</v>
      </c>
      <c r="D12" s="26">
        <f>원자료!I91</f>
        <v>186700</v>
      </c>
      <c r="E12" s="26">
        <f>D12*원자료!J91/100000000</f>
        <v>177947.8774</v>
      </c>
      <c r="F12" s="27" t="str">
        <f>IF(원자료!T91="","미확인",원자료!T91)</f>
        <v>미확인</v>
      </c>
      <c r="G12" s="26">
        <f>IF(원자료!D91="","미확인",원자료!D91)</f>
        <v>5124</v>
      </c>
      <c r="H12" s="36" t="str">
        <f t="shared" si="0"/>
        <v>미확인</v>
      </c>
      <c r="I12" s="27" t="str">
        <f>IF(원자료!U91="","미확인",원자료!U91)</f>
        <v>미확인</v>
      </c>
      <c r="J12" s="26">
        <f>IF(원자료!E91="","미확인",원자료!E91)</f>
        <v>5617</v>
      </c>
      <c r="K12" s="36" t="str">
        <f t="shared" si="1"/>
        <v>미확인</v>
      </c>
      <c r="L12" s="44">
        <f t="shared" si="2"/>
        <v>34.728313309914128</v>
      </c>
      <c r="M12" s="28">
        <f t="shared" si="3"/>
        <v>31.680234538009614</v>
      </c>
      <c r="N12" s="45" t="str">
        <f>IF(원자료!O91="","미확인",원자료!O91)</f>
        <v>미확인</v>
      </c>
      <c r="O12" s="28">
        <v>46.2</v>
      </c>
      <c r="P12" s="28">
        <v>42.2</v>
      </c>
      <c r="Q12" s="24" t="s">
        <v>27</v>
      </c>
      <c r="R12" s="1"/>
      <c r="S12" s="1"/>
    </row>
    <row r="13" spans="1:22" ht="21.95" customHeight="1">
      <c r="A13" s="51">
        <v>88</v>
      </c>
      <c r="B13" s="69" t="s">
        <v>202</v>
      </c>
      <c r="C13" s="70" t="s">
        <v>203</v>
      </c>
      <c r="D13" s="71">
        <f>원자료!I93</f>
        <v>45400</v>
      </c>
      <c r="E13" s="71">
        <f>D13*원자료!J93/100000000</f>
        <v>3773.9957639999998</v>
      </c>
      <c r="F13" s="72" t="str">
        <f>IF(원자료!T93="","미확인",원자료!T93)</f>
        <v>미확인</v>
      </c>
      <c r="G13" s="71" t="str">
        <f>IF(원자료!D93="","미확인",원자료!D93)</f>
        <v>미확인</v>
      </c>
      <c r="H13" s="73" t="str">
        <f t="shared" si="0"/>
        <v>미확인</v>
      </c>
      <c r="I13" s="72" t="str">
        <f>IF(원자료!U93="","미확인",원자료!U93)</f>
        <v>미확인</v>
      </c>
      <c r="J13" s="71" t="str">
        <f>IF(원자료!E93="","미확인",원자료!E93)</f>
        <v>미확인</v>
      </c>
      <c r="K13" s="73" t="str">
        <f t="shared" si="1"/>
        <v>미확인</v>
      </c>
      <c r="L13" s="74" t="str">
        <f t="shared" si="2"/>
        <v>미산출</v>
      </c>
      <c r="M13" s="75" t="str">
        <f t="shared" si="3"/>
        <v>미산출</v>
      </c>
      <c r="N13" s="76" t="str">
        <f>IF(원자료!O93="","미확인",원자료!O93)</f>
        <v>미확인</v>
      </c>
      <c r="O13" s="75"/>
      <c r="P13" s="75"/>
      <c r="Q13" s="69" t="s">
        <v>204</v>
      </c>
      <c r="R13" s="1"/>
      <c r="S13" s="1"/>
    </row>
    <row r="14" spans="1:22" ht="21.95" customHeight="1">
      <c r="A14" s="18">
        <v>89</v>
      </c>
      <c r="B14" s="29" t="s">
        <v>205</v>
      </c>
      <c r="C14" s="30" t="s">
        <v>206</v>
      </c>
      <c r="D14" s="31">
        <f>원자료!I98</f>
        <v>39850</v>
      </c>
      <c r="E14" s="31">
        <f>D14*원자료!J98/100000000</f>
        <v>14765.877532500001</v>
      </c>
      <c r="F14" s="32" t="str">
        <f>IF(원자료!T98="","미확인",원자료!T98)</f>
        <v>미확인</v>
      </c>
      <c r="G14" s="31" t="str">
        <f>IF(원자료!D98="","미확인",원자료!D98)</f>
        <v>미확인</v>
      </c>
      <c r="H14" s="37" t="str">
        <f t="shared" si="0"/>
        <v>미확인</v>
      </c>
      <c r="I14" s="32" t="str">
        <f>IF(원자료!U98="","미확인",원자료!U98)</f>
        <v>미확인</v>
      </c>
      <c r="J14" s="31" t="str">
        <f>IF(원자료!E98="","미확인",원자료!E98)</f>
        <v>미확인</v>
      </c>
      <c r="K14" s="37" t="str">
        <f t="shared" si="1"/>
        <v>미확인</v>
      </c>
      <c r="L14" s="46" t="str">
        <f t="shared" si="2"/>
        <v>미산출</v>
      </c>
      <c r="M14" s="33" t="str">
        <f t="shared" si="3"/>
        <v>미산출</v>
      </c>
      <c r="N14" s="47" t="str">
        <f>IF(원자료!O98="","미확인",원자료!O98)</f>
        <v>미확인</v>
      </c>
      <c r="O14" s="33"/>
      <c r="P14" s="33"/>
      <c r="Q14" s="29" t="s">
        <v>204</v>
      </c>
      <c r="R14" s="1"/>
      <c r="S14" s="1"/>
    </row>
    <row r="15" spans="1:22" ht="21.95" customHeight="1">
      <c r="A15" s="18">
        <v>90</v>
      </c>
      <c r="B15" s="29" t="s">
        <v>207</v>
      </c>
      <c r="C15" s="30" t="s">
        <v>208</v>
      </c>
      <c r="D15" s="31">
        <f>원자료!I99</f>
        <v>10180</v>
      </c>
      <c r="E15" s="31">
        <f>D15*원자료!J99/100000000</f>
        <v>3157.5295820000001</v>
      </c>
      <c r="F15" s="32" t="str">
        <f>IF(원자료!T99="","미확인",원자료!T99)</f>
        <v>미확인</v>
      </c>
      <c r="G15" s="31" t="str">
        <f>IF(원자료!D99="","미확인",원자료!D99)</f>
        <v>미확인</v>
      </c>
      <c r="H15" s="37" t="str">
        <f t="shared" si="0"/>
        <v>미확인</v>
      </c>
      <c r="I15" s="32" t="str">
        <f>IF(원자료!U99="","미확인",원자료!U99)</f>
        <v>미확인</v>
      </c>
      <c r="J15" s="31" t="str">
        <f>IF(원자료!E99="","미확인",원자료!E99)</f>
        <v>미확인</v>
      </c>
      <c r="K15" s="37" t="str">
        <f t="shared" si="1"/>
        <v>미확인</v>
      </c>
      <c r="L15" s="46" t="str">
        <f t="shared" si="2"/>
        <v>미산출</v>
      </c>
      <c r="M15" s="33" t="str">
        <f t="shared" si="3"/>
        <v>미산출</v>
      </c>
      <c r="N15" s="47" t="str">
        <f>IF(원자료!O99="","미확인",원자료!O99)</f>
        <v>미확인</v>
      </c>
      <c r="O15" s="33"/>
      <c r="P15" s="33"/>
      <c r="Q15" s="29" t="s">
        <v>204</v>
      </c>
      <c r="R15" s="1"/>
      <c r="S15" s="1"/>
    </row>
    <row r="16" spans="1:22" ht="21.95" customHeight="1">
      <c r="A16" s="18">
        <v>62</v>
      </c>
      <c r="B16" s="24" t="s">
        <v>150</v>
      </c>
      <c r="C16" s="25" t="s">
        <v>151</v>
      </c>
      <c r="D16" s="26">
        <f>원자료!I65</f>
        <v>27700</v>
      </c>
      <c r="E16" s="26">
        <f>D16*원자료!J65/100000000</f>
        <v>2286.7516169999999</v>
      </c>
      <c r="F16" s="27">
        <f>IF(원자료!T65="","미확인",원자료!T65)</f>
        <v>12</v>
      </c>
      <c r="G16" s="26">
        <f>IF(원자료!D65="","미확인",원자료!D65)</f>
        <v>134</v>
      </c>
      <c r="H16" s="36">
        <f t="shared" si="0"/>
        <v>10.166666666666666</v>
      </c>
      <c r="I16" s="27">
        <f>IF(원자료!U65="","미확인",원자료!U65)</f>
        <v>12.33</v>
      </c>
      <c r="J16" s="26">
        <f>IF(원자료!E65="","미확인",원자료!E65)</f>
        <v>134</v>
      </c>
      <c r="K16" s="36">
        <f t="shared" si="1"/>
        <v>9.8678021086780205</v>
      </c>
      <c r="L16" s="44">
        <f t="shared" si="2"/>
        <v>17.065310574626864</v>
      </c>
      <c r="M16" s="28">
        <f t="shared" si="3"/>
        <v>17.065310574626864</v>
      </c>
      <c r="N16" s="45">
        <f>IF(원자료!O65="","미확인",원자료!O65)</f>
        <v>0.58760000000000001</v>
      </c>
      <c r="O16" s="28">
        <v>20.100000000000001</v>
      </c>
      <c r="P16" s="28">
        <v>20.100000000000001</v>
      </c>
      <c r="Q16" s="24" t="s">
        <v>27</v>
      </c>
      <c r="R16" s="1"/>
      <c r="S16" s="1"/>
    </row>
    <row r="17" spans="1:19" ht="21.95" customHeight="1">
      <c r="A17" s="51">
        <v>53</v>
      </c>
      <c r="B17" s="60" t="s">
        <v>132</v>
      </c>
      <c r="C17" s="61" t="s">
        <v>133</v>
      </c>
      <c r="D17" s="62">
        <f>원자료!I56</f>
        <v>50000</v>
      </c>
      <c r="E17" s="62">
        <f>D17*원자료!J56/100000000</f>
        <v>6499.1890000000003</v>
      </c>
      <c r="F17" s="63">
        <f>IF(원자료!T56="","미확인",원자료!T56)</f>
        <v>43</v>
      </c>
      <c r="G17" s="62">
        <f>IF(원자료!D56="","미확인",원자료!D56)</f>
        <v>451</v>
      </c>
      <c r="H17" s="64">
        <f t="shared" si="0"/>
        <v>9.4883720930232567</v>
      </c>
      <c r="I17" s="63">
        <f>IF(원자료!U56="","미확인",원자료!U56)</f>
        <v>71.75</v>
      </c>
      <c r="J17" s="62">
        <f>IF(원자료!E56="","미확인",원자료!E56)</f>
        <v>543</v>
      </c>
      <c r="K17" s="64">
        <f t="shared" si="1"/>
        <v>6.5679442508710801</v>
      </c>
      <c r="L17" s="65">
        <f t="shared" si="2"/>
        <v>14.410618625277163</v>
      </c>
      <c r="M17" s="66">
        <f t="shared" si="3"/>
        <v>11.969040515653775</v>
      </c>
      <c r="N17" s="67">
        <f>IF(원자료!O56="","미확인",원자료!O56)</f>
        <v>0.64170000000000005</v>
      </c>
      <c r="O17" s="66">
        <v>16.5</v>
      </c>
      <c r="P17" s="66">
        <v>13.7</v>
      </c>
      <c r="Q17" s="60" t="s">
        <v>27</v>
      </c>
      <c r="R17" s="1"/>
      <c r="S17" s="1"/>
    </row>
    <row r="18" spans="1:19" ht="21.95" customHeight="1">
      <c r="A18" s="18">
        <v>25</v>
      </c>
      <c r="B18" s="19" t="s">
        <v>75</v>
      </c>
      <c r="C18" s="20" t="s">
        <v>76</v>
      </c>
      <c r="D18" s="21">
        <f>원자료!I37</f>
        <v>3110</v>
      </c>
      <c r="E18" s="21">
        <f>D18*원자료!J37/100000000</f>
        <v>622</v>
      </c>
      <c r="F18" s="22">
        <f>IF(원자료!T37="","미확인",원자료!T37)</f>
        <v>11</v>
      </c>
      <c r="G18" s="21">
        <f>IF(원자료!D37="","미확인",원자료!D37)</f>
        <v>70</v>
      </c>
      <c r="H18" s="35">
        <f t="shared" si="0"/>
        <v>5.3636363636363633</v>
      </c>
      <c r="I18" s="22">
        <f>IF(원자료!U37="","미확인",원자료!U37)</f>
        <v>22</v>
      </c>
      <c r="J18" s="21">
        <f>IF(원자료!E37="","미확인",원자료!E37)</f>
        <v>78</v>
      </c>
      <c r="K18" s="35">
        <f t="shared" si="1"/>
        <v>2.5454545454545454</v>
      </c>
      <c r="L18" s="42">
        <f t="shared" si="2"/>
        <v>8.8857142857142861</v>
      </c>
      <c r="M18" s="23">
        <f t="shared" si="3"/>
        <v>7.9743589743589745</v>
      </c>
      <c r="N18" s="43" t="str">
        <f>IF(원자료!O37="","미확인",원자료!O37)</f>
        <v>미확인</v>
      </c>
      <c r="O18" s="23">
        <v>12.3</v>
      </c>
      <c r="P18" s="23">
        <v>11</v>
      </c>
      <c r="Q18" s="19" t="s">
        <v>27</v>
      </c>
      <c r="R18" s="1"/>
      <c r="S18" s="1"/>
    </row>
    <row r="19" spans="1:19" ht="21.95" customHeight="1">
      <c r="A19" s="18">
        <v>12</v>
      </c>
      <c r="B19" s="24" t="s">
        <v>49</v>
      </c>
      <c r="C19" s="25" t="s">
        <v>50</v>
      </c>
      <c r="D19" s="26">
        <f>원자료!I21</f>
        <v>7980</v>
      </c>
      <c r="E19" s="26">
        <f>D19*원자료!J21/100000000</f>
        <v>1208.5097934</v>
      </c>
      <c r="F19" s="27">
        <f>IF(원자료!T21="","미확인",원자료!T21)</f>
        <v>30.5</v>
      </c>
      <c r="G19" s="26">
        <f>IF(원자료!D21="","미확인",원자료!D21)</f>
        <v>180</v>
      </c>
      <c r="H19" s="36">
        <f t="shared" si="0"/>
        <v>4.9016393442622954</v>
      </c>
      <c r="I19" s="27">
        <f>IF(원자료!U21="","미확인",원자료!U21)</f>
        <v>171.5</v>
      </c>
      <c r="J19" s="26">
        <f>IF(원자료!E21="","미확인",원자료!E21)</f>
        <v>224</v>
      </c>
      <c r="K19" s="36">
        <f t="shared" si="1"/>
        <v>0.30612244897959173</v>
      </c>
      <c r="L19" s="44">
        <f t="shared" si="2"/>
        <v>6.7139432966666668</v>
      </c>
      <c r="M19" s="28">
        <f t="shared" si="3"/>
        <v>5.39513300625</v>
      </c>
      <c r="N19" s="45">
        <f>IF(원자료!O21="","미확인",원자료!O21)</f>
        <v>0.11869999999999999</v>
      </c>
      <c r="O19" s="28">
        <v>8.1</v>
      </c>
      <c r="P19" s="28">
        <v>6.6</v>
      </c>
      <c r="Q19" s="24" t="s">
        <v>27</v>
      </c>
      <c r="R19" s="1"/>
      <c r="S19" s="1"/>
    </row>
    <row r="20" spans="1:19" ht="21.95" customHeight="1">
      <c r="A20" s="18">
        <v>37</v>
      </c>
      <c r="B20" s="19" t="s">
        <v>99</v>
      </c>
      <c r="C20" s="20" t="s">
        <v>100</v>
      </c>
      <c r="D20" s="21">
        <f>원자료!I49</f>
        <v>20300</v>
      </c>
      <c r="E20" s="21">
        <f>D20*원자료!J49/100000000</f>
        <v>2732.787421</v>
      </c>
      <c r="F20" s="22">
        <f>IF(원자료!T49="","미확인",원자료!T49)</f>
        <v>59</v>
      </c>
      <c r="G20" s="21">
        <f>IF(원자료!D49="","미확인",원자료!D49)</f>
        <v>251</v>
      </c>
      <c r="H20" s="35">
        <f t="shared" si="0"/>
        <v>3.2542372881355934</v>
      </c>
      <c r="I20" s="22">
        <f>IF(원자료!U49="","미확인",원자료!U49)</f>
        <v>74.5</v>
      </c>
      <c r="J20" s="21">
        <f>IF(원자료!E49="","미확인",원자료!E49)</f>
        <v>307</v>
      </c>
      <c r="K20" s="35">
        <f t="shared" si="1"/>
        <v>3.1208053691275168</v>
      </c>
      <c r="L20" s="42">
        <f t="shared" si="2"/>
        <v>10.887599286852589</v>
      </c>
      <c r="M20" s="23">
        <f t="shared" si="3"/>
        <v>8.9015876905537468</v>
      </c>
      <c r="N20" s="43">
        <f>IF(원자료!O49="","미확인",원자료!O49)</f>
        <v>0.1363</v>
      </c>
      <c r="O20" s="23">
        <v>14</v>
      </c>
      <c r="P20" s="23">
        <v>11.4</v>
      </c>
      <c r="Q20" s="19" t="s">
        <v>27</v>
      </c>
      <c r="R20" s="1"/>
      <c r="S20" s="1"/>
    </row>
    <row r="21" spans="1:19" ht="21.95" customHeight="1">
      <c r="A21" s="18">
        <v>28</v>
      </c>
      <c r="B21" s="24" t="s">
        <v>81</v>
      </c>
      <c r="C21" s="25" t="s">
        <v>82</v>
      </c>
      <c r="D21" s="26">
        <f>원자료!I34</f>
        <v>11930</v>
      </c>
      <c r="E21" s="26">
        <f>D21*원자료!J34/100000000</f>
        <v>1068.9588987</v>
      </c>
      <c r="F21" s="27">
        <f>IF(원자료!T34="","미확인",원자료!T34)</f>
        <v>28</v>
      </c>
      <c r="G21" s="26">
        <f>IF(원자료!D34="","미확인",원자료!D34)</f>
        <v>116</v>
      </c>
      <c r="H21" s="36">
        <f t="shared" si="0"/>
        <v>3.1428571428571432</v>
      </c>
      <c r="I21" s="27">
        <f>IF(원자료!U34="","미확인",원자료!U34)</f>
        <v>60</v>
      </c>
      <c r="J21" s="26">
        <f>IF(원자료!E34="","미확인",원자료!E34)</f>
        <v>143</v>
      </c>
      <c r="K21" s="36">
        <f t="shared" si="1"/>
        <v>1.3833333333333333</v>
      </c>
      <c r="L21" s="44">
        <f t="shared" si="2"/>
        <v>9.215162919827586</v>
      </c>
      <c r="M21" s="28">
        <f t="shared" si="3"/>
        <v>7.4752370538461532</v>
      </c>
      <c r="N21" s="45" t="str">
        <f>IF(원자료!O34="","미확인",원자료!O34)</f>
        <v>미확인</v>
      </c>
      <c r="O21" s="28">
        <v>10.9</v>
      </c>
      <c r="P21" s="28">
        <v>8.8000000000000007</v>
      </c>
      <c r="Q21" s="24" t="s">
        <v>27</v>
      </c>
      <c r="R21" s="1"/>
      <c r="S21" s="1"/>
    </row>
    <row r="22" spans="1:19" ht="21.95" customHeight="1">
      <c r="A22" s="51">
        <v>52</v>
      </c>
      <c r="B22" s="52" t="s">
        <v>130</v>
      </c>
      <c r="C22" s="53" t="s">
        <v>131</v>
      </c>
      <c r="D22" s="54">
        <f>원자료!I62</f>
        <v>56400</v>
      </c>
      <c r="E22" s="54">
        <f>D22*원자료!J62/100000000</f>
        <v>28262.619228</v>
      </c>
      <c r="F22" s="55">
        <f>IF(원자료!T62="","미확인",원자료!T62)</f>
        <v>544.5</v>
      </c>
      <c r="G22" s="54">
        <f>IF(원자료!D62="","미확인",원자료!D62)</f>
        <v>2026</v>
      </c>
      <c r="H22" s="56">
        <f t="shared" si="0"/>
        <v>2.7208448117539028</v>
      </c>
      <c r="I22" s="55">
        <f>IF(원자료!U62="","미확인",원자료!U62)</f>
        <v>928.5</v>
      </c>
      <c r="J22" s="54">
        <f>IF(원자료!E62="","미확인",원자료!E62)</f>
        <v>2266</v>
      </c>
      <c r="K22" s="56">
        <f t="shared" si="1"/>
        <v>1.4404954227248248</v>
      </c>
      <c r="L22" s="57">
        <f t="shared" si="2"/>
        <v>13.949960132280355</v>
      </c>
      <c r="M22" s="58">
        <f t="shared" si="3"/>
        <v>12.472470974404237</v>
      </c>
      <c r="N22" s="59">
        <f>IF(원자료!O62="","미확인",원자료!O62)</f>
        <v>0.91209999999999991</v>
      </c>
      <c r="O22" s="58">
        <v>19</v>
      </c>
      <c r="P22" s="58">
        <v>17</v>
      </c>
      <c r="Q22" s="52" t="s">
        <v>27</v>
      </c>
      <c r="R22" s="1"/>
      <c r="S22" s="1"/>
    </row>
    <row r="23" spans="1:19" ht="21.95" customHeight="1">
      <c r="A23" s="51">
        <v>47</v>
      </c>
      <c r="B23" s="68" t="s">
        <v>120</v>
      </c>
      <c r="C23" s="61" t="s">
        <v>121</v>
      </c>
      <c r="D23" s="62">
        <f>원자료!I57</f>
        <v>29300</v>
      </c>
      <c r="E23" s="62">
        <f>D23*원자료!J57/100000000</f>
        <v>3069.7624649999998</v>
      </c>
      <c r="F23" s="63">
        <f>IF(원자료!T57="","미확인",원자료!T57)</f>
        <v>69.33</v>
      </c>
      <c r="G23" s="62">
        <f>IF(원자료!D57="","미확인",원자료!D57)</f>
        <v>232</v>
      </c>
      <c r="H23" s="64">
        <f t="shared" si="0"/>
        <v>2.3463147266695517</v>
      </c>
      <c r="I23" s="63">
        <f>IF(원자료!U57="","미확인",원자료!U57)</f>
        <v>66.67</v>
      </c>
      <c r="J23" s="62">
        <f>IF(원자료!E57="","미확인",원자료!E57)</f>
        <v>281</v>
      </c>
      <c r="K23" s="64">
        <f t="shared" si="1"/>
        <v>3.214789260536973</v>
      </c>
      <c r="L23" s="65">
        <f t="shared" si="2"/>
        <v>13.231734762931033</v>
      </c>
      <c r="M23" s="66">
        <f t="shared" si="3"/>
        <v>10.924421583629892</v>
      </c>
      <c r="N23" s="67">
        <f>IF(원자료!O57="","미확인",원자료!O57)</f>
        <v>0.1414</v>
      </c>
      <c r="O23" s="66">
        <v>16.7</v>
      </c>
      <c r="P23" s="66">
        <v>13.8</v>
      </c>
      <c r="Q23" s="68" t="s">
        <v>27</v>
      </c>
      <c r="R23" s="1"/>
      <c r="S23" s="1"/>
    </row>
    <row r="24" spans="1:19" ht="21.95" customHeight="1">
      <c r="A24" s="18">
        <v>78</v>
      </c>
      <c r="B24" s="24" t="s">
        <v>182</v>
      </c>
      <c r="C24" s="25" t="s">
        <v>183</v>
      </c>
      <c r="D24" s="26">
        <f>원자료!I79</f>
        <v>116000</v>
      </c>
      <c r="E24" s="26">
        <f>D24*원자료!J79/100000000</f>
        <v>22419.596079999999</v>
      </c>
      <c r="F24" s="27">
        <f>IF(원자료!T79="","미확인",원자료!T79)</f>
        <v>311.25</v>
      </c>
      <c r="G24" s="26">
        <f>IF(원자료!D79="","미확인",원자료!D79)</f>
        <v>907</v>
      </c>
      <c r="H24" s="36">
        <f t="shared" si="0"/>
        <v>1.9140562248995985</v>
      </c>
      <c r="I24" s="27">
        <f>IF(원자료!U79="","미확인",원자료!U79)</f>
        <v>371.5</v>
      </c>
      <c r="J24" s="26">
        <f>IF(원자료!E79="","미확인",원자료!E79)</f>
        <v>1098</v>
      </c>
      <c r="K24" s="36">
        <f t="shared" si="1"/>
        <v>1.9555854643337818</v>
      </c>
      <c r="L24" s="44">
        <f t="shared" si="2"/>
        <v>24.71840802646086</v>
      </c>
      <c r="M24" s="28">
        <f t="shared" si="3"/>
        <v>20.418575664845172</v>
      </c>
      <c r="N24" s="45">
        <f>IF(원자료!O79="","미확인",원자료!O79)</f>
        <v>0.18420000000000003</v>
      </c>
      <c r="O24" s="28">
        <v>26.4</v>
      </c>
      <c r="P24" s="28">
        <v>21.8</v>
      </c>
      <c r="Q24" s="24" t="s">
        <v>27</v>
      </c>
      <c r="R24" s="1"/>
      <c r="S24" s="1"/>
    </row>
    <row r="25" spans="1:19" ht="21.95" customHeight="1">
      <c r="A25" s="18">
        <v>87</v>
      </c>
      <c r="B25" s="19" t="s">
        <v>200</v>
      </c>
      <c r="C25" s="20" t="s">
        <v>201</v>
      </c>
      <c r="D25" s="21">
        <f>원자료!I92</f>
        <v>197100</v>
      </c>
      <c r="E25" s="21">
        <f>D25*원자료!J92/100000000</f>
        <v>91614.289491000003</v>
      </c>
      <c r="F25" s="22">
        <f>IF(원자료!T92="","미확인",원자료!T92)</f>
        <v>418</v>
      </c>
      <c r="G25" s="21">
        <f>IF(원자료!D92="","미확인",원자료!D92)</f>
        <v>1172</v>
      </c>
      <c r="H25" s="35">
        <f t="shared" si="0"/>
        <v>1.8038277511961724</v>
      </c>
      <c r="I25" s="22">
        <f>IF(원자료!U92="","미확인",원자료!U92)</f>
        <v>408</v>
      </c>
      <c r="J25" s="21">
        <f>IF(원자료!E92="","미확인",원자료!E92)</f>
        <v>1401</v>
      </c>
      <c r="K25" s="35">
        <f t="shared" si="1"/>
        <v>2.4338235294117645</v>
      </c>
      <c r="L25" s="42">
        <f t="shared" si="2"/>
        <v>78.169188985494884</v>
      </c>
      <c r="M25" s="23">
        <f t="shared" si="3"/>
        <v>65.392069586723764</v>
      </c>
      <c r="N25" s="43">
        <f>IF(원자료!O92="","미확인",원자료!O92)</f>
        <v>0.159</v>
      </c>
      <c r="O25" s="23">
        <v>100.3</v>
      </c>
      <c r="P25" s="23">
        <v>83.9</v>
      </c>
      <c r="Q25" s="19" t="s">
        <v>27</v>
      </c>
      <c r="R25" s="1"/>
      <c r="S25" s="1"/>
    </row>
    <row r="26" spans="1:19" ht="21.95" customHeight="1">
      <c r="A26" s="51">
        <v>35</v>
      </c>
      <c r="B26" s="68" t="s">
        <v>95</v>
      </c>
      <c r="C26" s="61" t="s">
        <v>96</v>
      </c>
      <c r="D26" s="62">
        <f>원자료!I46</f>
        <v>24150</v>
      </c>
      <c r="E26" s="62">
        <f>D26*원자료!J46/100000000</f>
        <v>5228.7949875000004</v>
      </c>
      <c r="F26" s="63">
        <f>IF(원자료!T46="","미확인",원자료!T46)</f>
        <v>182</v>
      </c>
      <c r="G26" s="62">
        <f>IF(원자료!D46="","미확인",원자료!D46)</f>
        <v>496</v>
      </c>
      <c r="H26" s="64">
        <f t="shared" si="0"/>
        <v>1.7252747252747254</v>
      </c>
      <c r="I26" s="63">
        <f>IF(원자료!U46="","미확인",원자료!U46)</f>
        <v>254</v>
      </c>
      <c r="J26" s="62">
        <f>IF(원자료!E46="","미확인",원자료!E46)</f>
        <v>656</v>
      </c>
      <c r="K26" s="64">
        <f t="shared" si="1"/>
        <v>1.5826771653543306</v>
      </c>
      <c r="L26" s="65">
        <f t="shared" si="2"/>
        <v>10.541925378024194</v>
      </c>
      <c r="M26" s="66">
        <f t="shared" si="3"/>
        <v>7.970724066310976</v>
      </c>
      <c r="N26" s="67">
        <f>IF(원자료!O46="","미확인",원자료!O46)</f>
        <v>0.28339999999999999</v>
      </c>
      <c r="O26" s="66">
        <v>13.5</v>
      </c>
      <c r="P26" s="66">
        <v>10.199999999999999</v>
      </c>
      <c r="Q26" s="68" t="s">
        <v>27</v>
      </c>
      <c r="R26" s="1"/>
      <c r="S26" s="1"/>
    </row>
    <row r="27" spans="1:19" ht="21.95" customHeight="1">
      <c r="A27" s="18">
        <v>60</v>
      </c>
      <c r="B27" s="24" t="s">
        <v>146</v>
      </c>
      <c r="C27" s="25" t="s">
        <v>147</v>
      </c>
      <c r="D27" s="26">
        <f>원자료!I64</f>
        <v>108400</v>
      </c>
      <c r="E27" s="26">
        <f>D27*원자료!J64/100000000</f>
        <v>13740.521672000001</v>
      </c>
      <c r="F27" s="27">
        <f>IF(원자료!T64="","미확인",원자료!T64)</f>
        <v>310.75</v>
      </c>
      <c r="G27" s="26">
        <f>IF(원자료!D64="","미확인",원자료!D64)</f>
        <v>818</v>
      </c>
      <c r="H27" s="36">
        <f t="shared" si="0"/>
        <v>1.6323411102172165</v>
      </c>
      <c r="I27" s="27">
        <f>IF(원자료!U64="","미확인",원자료!U64)</f>
        <v>333.62</v>
      </c>
      <c r="J27" s="26">
        <f>IF(원자료!E64="","미확인",원자료!E64)</f>
        <v>972</v>
      </c>
      <c r="K27" s="36">
        <f t="shared" si="1"/>
        <v>1.9134943948204546</v>
      </c>
      <c r="L27" s="44">
        <f t="shared" si="2"/>
        <v>16.797703755501225</v>
      </c>
      <c r="M27" s="28">
        <f t="shared" si="3"/>
        <v>14.13633916872428</v>
      </c>
      <c r="N27" s="45">
        <f>IF(원자료!O64="","미확인",원자료!O64)</f>
        <v>0.30730000000000002</v>
      </c>
      <c r="O27" s="28">
        <v>20</v>
      </c>
      <c r="P27" s="28">
        <v>16.8</v>
      </c>
      <c r="Q27" s="24" t="s">
        <v>27</v>
      </c>
      <c r="R27" s="1"/>
      <c r="S27" s="1"/>
    </row>
    <row r="28" spans="1:19" ht="21.95" customHeight="1">
      <c r="A28" s="18">
        <v>41</v>
      </c>
      <c r="B28" s="19" t="s">
        <v>107</v>
      </c>
      <c r="C28" s="20" t="s">
        <v>108</v>
      </c>
      <c r="D28" s="21">
        <f>원자료!I45</f>
        <v>9540</v>
      </c>
      <c r="E28" s="21">
        <f>D28*원자료!J45/100000000</f>
        <v>1220.9218542000001</v>
      </c>
      <c r="F28" s="22">
        <f>IF(원자료!T45="","미확인",원자료!T45)</f>
        <v>43</v>
      </c>
      <c r="G28" s="21">
        <f>IF(원자료!D45="","미확인",원자료!D45)</f>
        <v>107</v>
      </c>
      <c r="H28" s="35">
        <f t="shared" si="0"/>
        <v>1.4883720930232558</v>
      </c>
      <c r="I28" s="22">
        <f>IF(원자료!U45="","미확인",원자료!U45)</f>
        <v>93</v>
      </c>
      <c r="J28" s="21">
        <f>IF(원자료!E45="","미확인",원자료!E45)</f>
        <v>162</v>
      </c>
      <c r="K28" s="35">
        <f t="shared" si="1"/>
        <v>0.74193548387096775</v>
      </c>
      <c r="L28" s="42">
        <f t="shared" si="2"/>
        <v>11.410484618691589</v>
      </c>
      <c r="M28" s="23">
        <f t="shared" si="3"/>
        <v>7.5365546555555563</v>
      </c>
      <c r="N28" s="43">
        <f>IF(원자료!O45="","미확인",원자료!O45)</f>
        <v>0.12140000000000001</v>
      </c>
      <c r="O28" s="23">
        <v>13.5</v>
      </c>
      <c r="P28" s="23">
        <v>8.9</v>
      </c>
      <c r="Q28" s="19" t="s">
        <v>27</v>
      </c>
      <c r="R28" s="1"/>
      <c r="S28" s="1"/>
    </row>
    <row r="29" spans="1:19" ht="21.95" customHeight="1">
      <c r="A29" s="18">
        <v>33</v>
      </c>
      <c r="B29" s="19" t="s">
        <v>91</v>
      </c>
      <c r="C29" s="20" t="s">
        <v>92</v>
      </c>
      <c r="D29" s="21">
        <f>원자료!I41</f>
        <v>9390</v>
      </c>
      <c r="E29" s="21">
        <f>D29*원자료!J41/100000000</f>
        <v>1898.7603509999999</v>
      </c>
      <c r="F29" s="22">
        <f>IF(원자료!T41="","미확인",원자료!T41)</f>
        <v>80</v>
      </c>
      <c r="G29" s="21">
        <f>IF(원자료!D41="","미확인",원자료!D41)</f>
        <v>186</v>
      </c>
      <c r="H29" s="35">
        <f t="shared" si="0"/>
        <v>1.3250000000000002</v>
      </c>
      <c r="I29" s="22">
        <f>IF(원자료!U41="","미확인",원자료!U41)</f>
        <v>95</v>
      </c>
      <c r="J29" s="21">
        <f>IF(원자료!E41="","미확인",원자료!E41)</f>
        <v>214</v>
      </c>
      <c r="K29" s="35">
        <f t="shared" si="1"/>
        <v>1.2526315789473683</v>
      </c>
      <c r="L29" s="42">
        <f t="shared" si="2"/>
        <v>10.208388983870968</v>
      </c>
      <c r="M29" s="23">
        <f t="shared" si="3"/>
        <v>8.8727119205607465</v>
      </c>
      <c r="N29" s="43">
        <f>IF(원자료!O41="","미확인",원자료!O41)</f>
        <v>0.3024</v>
      </c>
      <c r="O29" s="23">
        <v>12.8</v>
      </c>
      <c r="P29" s="23">
        <v>11.1</v>
      </c>
      <c r="Q29" s="19" t="s">
        <v>27</v>
      </c>
      <c r="R29" s="1"/>
      <c r="S29" s="1"/>
    </row>
    <row r="30" spans="1:19" ht="21.95" customHeight="1">
      <c r="A30" s="18">
        <v>81</v>
      </c>
      <c r="B30" s="29" t="s">
        <v>188</v>
      </c>
      <c r="C30" s="30" t="s">
        <v>189</v>
      </c>
      <c r="D30" s="31">
        <f>원자료!I97</f>
        <v>1122000</v>
      </c>
      <c r="E30" s="31">
        <f>D30*원자료!J97/100000000</f>
        <v>838063.26911999995</v>
      </c>
      <c r="F30" s="32">
        <f>IF(원자료!T97="","미확인",원자료!T97)</f>
        <v>16066.42</v>
      </c>
      <c r="G30" s="31">
        <f>IF(원자료!D97="","미확인",원자료!D97)</f>
        <v>31520.68</v>
      </c>
      <c r="H30" s="37">
        <f t="shared" si="0"/>
        <v>0.96189817022087065</v>
      </c>
      <c r="I30" s="32">
        <f>IF(원자료!U97="","미확인",원자료!U97)</f>
        <v>20461.419999999998</v>
      </c>
      <c r="J30" s="31">
        <f>IF(원자료!E97="","미확인",원자료!E97)</f>
        <v>40214.839999999997</v>
      </c>
      <c r="K30" s="37">
        <f t="shared" si="1"/>
        <v>0.9653982959149463</v>
      </c>
      <c r="L30" s="46">
        <f t="shared" si="2"/>
        <v>26.587728092160447</v>
      </c>
      <c r="M30" s="33">
        <f t="shared" si="3"/>
        <v>20.839651957337143</v>
      </c>
      <c r="N30" s="47">
        <f>IF(원자료!O97="","미확인",원자료!O97)</f>
        <v>0.25019999999999998</v>
      </c>
      <c r="O30" s="33"/>
      <c r="P30" s="33"/>
      <c r="Q30" s="29" t="s">
        <v>113</v>
      </c>
      <c r="R30" s="1"/>
      <c r="S30" s="1"/>
    </row>
    <row r="31" spans="1:19" ht="21.95" customHeight="1">
      <c r="A31" s="18">
        <v>8</v>
      </c>
      <c r="B31" s="24" t="s">
        <v>41</v>
      </c>
      <c r="C31" s="77" t="s">
        <v>42</v>
      </c>
      <c r="D31" s="78">
        <f>원자료!I19</f>
        <v>10190</v>
      </c>
      <c r="E31" s="78">
        <f>D31*원자료!J19/100000000</f>
        <v>2153.5674393999998</v>
      </c>
      <c r="F31" s="79">
        <f>IF(원자료!T19="","미확인",원자료!T19)</f>
        <v>195.75</v>
      </c>
      <c r="G31" s="78">
        <f>IF(원자료!D19="","미확인",원자료!D19)</f>
        <v>369</v>
      </c>
      <c r="H31" s="80">
        <f t="shared" si="0"/>
        <v>0.88505747126436773</v>
      </c>
      <c r="I31" s="79">
        <f>IF(원자료!U19="","미확인",원자료!U19)</f>
        <v>218.7</v>
      </c>
      <c r="J31" s="78">
        <f>IF(원자료!E19="","미확인",원자료!E19)</f>
        <v>460</v>
      </c>
      <c r="K31" s="80">
        <f t="shared" si="1"/>
        <v>1.1033379058070416</v>
      </c>
      <c r="L31" s="81">
        <f t="shared" si="2"/>
        <v>5.8362261230352299</v>
      </c>
      <c r="M31" s="82">
        <f t="shared" si="3"/>
        <v>4.6816683465217386</v>
      </c>
      <c r="N31" s="83">
        <f>IF(원자료!O19="","미확인",원자료!O19)</f>
        <v>0.27710000000000001</v>
      </c>
      <c r="O31" s="82">
        <v>7.8</v>
      </c>
      <c r="P31" s="82">
        <v>6.2</v>
      </c>
      <c r="Q31" s="24" t="s">
        <v>27</v>
      </c>
      <c r="R31" s="1"/>
      <c r="S31" s="1"/>
    </row>
    <row r="32" spans="1:19" ht="21.95" customHeight="1">
      <c r="A32" s="18">
        <v>73</v>
      </c>
      <c r="B32" s="19" t="s">
        <v>172</v>
      </c>
      <c r="C32" s="20" t="s">
        <v>173</v>
      </c>
      <c r="D32" s="21">
        <f>원자료!I84</f>
        <v>25300</v>
      </c>
      <c r="E32" s="21">
        <f>D32*원자료!J84/100000000</f>
        <v>5477.3966170000003</v>
      </c>
      <c r="F32" s="22">
        <f>IF(원자료!T84="","미확인",원자료!T84)</f>
        <v>133</v>
      </c>
      <c r="G32" s="21">
        <f>IF(원자료!D84="","미확인",원자료!D84)</f>
        <v>245</v>
      </c>
      <c r="H32" s="35">
        <f t="shared" si="0"/>
        <v>0.84210526315789469</v>
      </c>
      <c r="I32" s="22">
        <f>IF(원자료!U84="","미확인",원자료!U84)</f>
        <v>277</v>
      </c>
      <c r="J32" s="21">
        <f>IF(원자료!E84="","미확인",원자료!E84)</f>
        <v>427</v>
      </c>
      <c r="K32" s="35">
        <f t="shared" si="1"/>
        <v>0.54151624548736454</v>
      </c>
      <c r="L32" s="42">
        <f t="shared" si="2"/>
        <v>22.356720885714289</v>
      </c>
      <c r="M32" s="23">
        <f t="shared" si="3"/>
        <v>12.827626737704918</v>
      </c>
      <c r="N32" s="43">
        <f>IF(원자료!O84="","미확인",원자료!O84)</f>
        <v>8.4199999999999997E-2</v>
      </c>
      <c r="O32" s="23">
        <v>28.6</v>
      </c>
      <c r="P32" s="23">
        <v>16.399999999999999</v>
      </c>
      <c r="Q32" s="19" t="s">
        <v>27</v>
      </c>
      <c r="R32" s="1"/>
      <c r="S32" s="1"/>
    </row>
    <row r="33" spans="1:19" ht="21.95" customHeight="1">
      <c r="A33" s="51">
        <v>39</v>
      </c>
      <c r="B33" s="68" t="s">
        <v>103</v>
      </c>
      <c r="C33" s="61" t="s">
        <v>104</v>
      </c>
      <c r="D33" s="62">
        <f>원자료!I43</f>
        <v>23850</v>
      </c>
      <c r="E33" s="62">
        <f>D33*원자료!J43/100000000</f>
        <v>5030.1927674999997</v>
      </c>
      <c r="F33" s="63">
        <f>IF(원자료!T43="","미확인",원자료!T43)</f>
        <v>248</v>
      </c>
      <c r="G33" s="62">
        <f>IF(원자료!D43="","미확인",원자료!D43)</f>
        <v>456</v>
      </c>
      <c r="H33" s="64">
        <f t="shared" si="0"/>
        <v>0.83870967741935476</v>
      </c>
      <c r="I33" s="63">
        <f>IF(원자료!U43="","미확인",원자료!U43)</f>
        <v>296.5</v>
      </c>
      <c r="J33" s="62">
        <f>IF(원자료!E43="","미확인",원자료!E43)</f>
        <v>558</v>
      </c>
      <c r="K33" s="64">
        <f t="shared" si="1"/>
        <v>0.88195615514333903</v>
      </c>
      <c r="L33" s="65">
        <f t="shared" si="2"/>
        <v>11.031124490131578</v>
      </c>
      <c r="M33" s="66">
        <f t="shared" si="3"/>
        <v>9.0146823790322568</v>
      </c>
      <c r="N33" s="67">
        <f>IF(원자료!O43="","미확인",원자료!O43)</f>
        <v>0.44540000000000002</v>
      </c>
      <c r="O33" s="66">
        <v>13</v>
      </c>
      <c r="P33" s="66">
        <v>10.6</v>
      </c>
      <c r="Q33" s="68" t="s">
        <v>27</v>
      </c>
      <c r="R33" s="1"/>
      <c r="S33" s="1"/>
    </row>
    <row r="34" spans="1:19" ht="21.95" customHeight="1">
      <c r="A34" s="18">
        <v>26</v>
      </c>
      <c r="B34" s="24" t="s">
        <v>77</v>
      </c>
      <c r="C34" s="25" t="s">
        <v>78</v>
      </c>
      <c r="D34" s="26">
        <f>원자료!I40</f>
        <v>10530</v>
      </c>
      <c r="E34" s="26">
        <f>D34*원자료!J40/100000000</f>
        <v>2357.9362520999998</v>
      </c>
      <c r="F34" s="27">
        <f>IF(원자료!T40="","미확인",원자료!T40)</f>
        <v>146</v>
      </c>
      <c r="G34" s="26">
        <f>IF(원자료!D40="","미확인",원자료!D40)</f>
        <v>261</v>
      </c>
      <c r="H34" s="36">
        <f t="shared" si="0"/>
        <v>0.78767123287671237</v>
      </c>
      <c r="I34" s="27">
        <f>IF(원자료!U40="","미확인",원자료!U40)</f>
        <v>203</v>
      </c>
      <c r="J34" s="26">
        <f>IF(원자료!E40="","미확인",원자료!E40)</f>
        <v>336</v>
      </c>
      <c r="K34" s="36">
        <f t="shared" si="1"/>
        <v>0.65517241379310343</v>
      </c>
      <c r="L34" s="44">
        <f t="shared" si="2"/>
        <v>9.0342385137931025</v>
      </c>
      <c r="M34" s="28">
        <f t="shared" si="3"/>
        <v>7.0176674169642848</v>
      </c>
      <c r="N34" s="45">
        <f>IF(원자료!O40="","미확인",원자료!O40)</f>
        <v>0.50729999999999997</v>
      </c>
      <c r="O34" s="28">
        <v>12.7</v>
      </c>
      <c r="P34" s="28">
        <v>9.9</v>
      </c>
      <c r="Q34" s="24" t="s">
        <v>27</v>
      </c>
      <c r="R34" s="1"/>
      <c r="S34" s="1"/>
    </row>
    <row r="35" spans="1:19" ht="21.95" customHeight="1">
      <c r="A35" s="18">
        <v>65</v>
      </c>
      <c r="B35" s="19" t="s">
        <v>156</v>
      </c>
      <c r="C35" s="20" t="s">
        <v>157</v>
      </c>
      <c r="D35" s="21">
        <f>원자료!I70</f>
        <v>11800</v>
      </c>
      <c r="E35" s="21">
        <f>D35*원자료!J70/100000000</f>
        <v>12656.128940000001</v>
      </c>
      <c r="F35" s="22">
        <f>IF(원자료!T70="","미확인",원자료!T70)</f>
        <v>402</v>
      </c>
      <c r="G35" s="21">
        <f>IF(원자료!D70="","미확인",원자료!D70)</f>
        <v>717</v>
      </c>
      <c r="H35" s="35">
        <f t="shared" si="0"/>
        <v>0.78358208955223874</v>
      </c>
      <c r="I35" s="22">
        <f>IF(원자료!U70="","미확인",원자료!U70)</f>
        <v>765</v>
      </c>
      <c r="J35" s="21">
        <f>IF(원자료!E70="","미확인",원자료!E70)</f>
        <v>1057</v>
      </c>
      <c r="K35" s="35">
        <f t="shared" si="1"/>
        <v>0.38169934640522873</v>
      </c>
      <c r="L35" s="42">
        <f t="shared" si="2"/>
        <v>17.651504797768482</v>
      </c>
      <c r="M35" s="23">
        <f t="shared" si="3"/>
        <v>11.973631920529801</v>
      </c>
      <c r="N35" s="43">
        <f>IF(원자료!O70="","미확인",원자료!O70)</f>
        <v>0.17749999999999999</v>
      </c>
      <c r="O35" s="23">
        <v>21.4</v>
      </c>
      <c r="P35" s="23">
        <v>14.5</v>
      </c>
      <c r="Q35" s="19" t="s">
        <v>32</v>
      </c>
      <c r="R35" s="1"/>
      <c r="S35" s="1"/>
    </row>
    <row r="36" spans="1:19" ht="21.95" customHeight="1">
      <c r="A36" s="18">
        <v>46</v>
      </c>
      <c r="B36" s="24" t="s">
        <v>118</v>
      </c>
      <c r="C36" s="25" t="s">
        <v>119</v>
      </c>
      <c r="D36" s="26">
        <f>원자료!I42</f>
        <v>16630</v>
      </c>
      <c r="E36" s="26">
        <f>D36*원자료!J42/100000000</f>
        <v>2043.7107563</v>
      </c>
      <c r="F36" s="27">
        <f>IF(원자료!T42="","미확인",원자료!T42)</f>
        <v>90</v>
      </c>
      <c r="G36" s="26">
        <f>IF(원자료!D42="","미확인",원자료!D42)</f>
        <v>160</v>
      </c>
      <c r="H36" s="36">
        <f t="shared" si="0"/>
        <v>0.77777777777777768</v>
      </c>
      <c r="I36" s="27">
        <f>IF(원자료!U42="","미확인",원자료!U42)</f>
        <v>122</v>
      </c>
      <c r="J36" s="26">
        <f>IF(원자료!E42="","미확인",원자료!E42)</f>
        <v>215</v>
      </c>
      <c r="K36" s="36">
        <f t="shared" si="1"/>
        <v>0.76229508196721318</v>
      </c>
      <c r="L36" s="44">
        <f t="shared" si="2"/>
        <v>12.773192226875</v>
      </c>
      <c r="M36" s="28">
        <f t="shared" si="3"/>
        <v>9.5056314246511633</v>
      </c>
      <c r="N36" s="45">
        <f>IF(원자료!O42="","미확인",원자료!O42)</f>
        <v>0.16239999999999999</v>
      </c>
      <c r="O36" s="28">
        <v>12.8</v>
      </c>
      <c r="P36" s="28">
        <v>9.5</v>
      </c>
      <c r="Q36" s="24" t="s">
        <v>27</v>
      </c>
      <c r="R36" s="1"/>
      <c r="S36" s="1"/>
    </row>
    <row r="37" spans="1:19" ht="21.95" customHeight="1">
      <c r="A37" s="18">
        <v>43</v>
      </c>
      <c r="B37" s="29" t="s">
        <v>111</v>
      </c>
      <c r="C37" s="30" t="s">
        <v>112</v>
      </c>
      <c r="D37" s="31">
        <f>원자료!I94</f>
        <v>17950</v>
      </c>
      <c r="E37" s="31">
        <f>D37*원자료!J94/100000000</f>
        <v>2476.1698310000002</v>
      </c>
      <c r="F37" s="32">
        <f>IF(원자료!T94="","미확인",원자료!T94)</f>
        <v>118.67</v>
      </c>
      <c r="G37" s="31">
        <f>IF(원자료!D94="","미확인",원자료!D94)</f>
        <v>210</v>
      </c>
      <c r="H37" s="37">
        <f t="shared" si="0"/>
        <v>0.76961321311199127</v>
      </c>
      <c r="I37" s="32">
        <f>IF(원자료!U94="","미확인",원자료!U94)</f>
        <v>175.22</v>
      </c>
      <c r="J37" s="31">
        <f>IF(원자료!E94="","미확인",원자료!E94)</f>
        <v>332.5</v>
      </c>
      <c r="K37" s="37">
        <f t="shared" si="1"/>
        <v>0.89761442757676058</v>
      </c>
      <c r="L37" s="46">
        <f t="shared" si="2"/>
        <v>11.79128490952381</v>
      </c>
      <c r="M37" s="33">
        <f t="shared" si="3"/>
        <v>7.4471273112781962</v>
      </c>
      <c r="N37" s="47">
        <f>IF(원자료!O94="","미확인",원자료!O94)</f>
        <v>0.24600000000000002</v>
      </c>
      <c r="O37" s="33"/>
      <c r="P37" s="33"/>
      <c r="Q37" s="29" t="s">
        <v>113</v>
      </c>
      <c r="R37" s="1"/>
      <c r="S37" s="1"/>
    </row>
    <row r="38" spans="1:19" ht="21.95" customHeight="1">
      <c r="A38" s="51">
        <v>50</v>
      </c>
      <c r="B38" s="52" t="s">
        <v>126</v>
      </c>
      <c r="C38" s="53" t="s">
        <v>127</v>
      </c>
      <c r="D38" s="54">
        <f>원자료!I58</f>
        <v>120400</v>
      </c>
      <c r="E38" s="54">
        <f>D38*원자료!J58/100000000</f>
        <v>46335.369304</v>
      </c>
      <c r="F38" s="55">
        <f>IF(원자료!T58="","미확인",원자료!T58)</f>
        <v>1971.22</v>
      </c>
      <c r="G38" s="54">
        <f>IF(원자료!D58="","미확인",원자료!D58)</f>
        <v>3392</v>
      </c>
      <c r="H38" s="56">
        <f t="shared" si="0"/>
        <v>0.72076176175160556</v>
      </c>
      <c r="I38" s="55">
        <f>IF(원자료!U58="","미확인",원자료!U58)</f>
        <v>2593.4</v>
      </c>
      <c r="J38" s="54">
        <f>IF(원자료!E58="","미확인",원자료!E58)</f>
        <v>4385</v>
      </c>
      <c r="K38" s="56">
        <f t="shared" si="1"/>
        <v>0.69083056990822844</v>
      </c>
      <c r="L38" s="57">
        <f t="shared" si="2"/>
        <v>13.660191422169811</v>
      </c>
      <c r="M38" s="58">
        <f t="shared" si="3"/>
        <v>10.566788894868871</v>
      </c>
      <c r="N38" s="59">
        <f>IF(원자료!O58="","미확인",원자료!O58)</f>
        <v>0.36479999999999996</v>
      </c>
      <c r="O38" s="58">
        <v>17.600000000000001</v>
      </c>
      <c r="P38" s="58">
        <v>13.6</v>
      </c>
      <c r="Q38" s="52" t="s">
        <v>27</v>
      </c>
      <c r="R38" s="1"/>
      <c r="S38" s="1"/>
    </row>
    <row r="39" spans="1:19" ht="21.95" customHeight="1">
      <c r="A39" s="18">
        <v>85</v>
      </c>
      <c r="B39" s="29" t="s">
        <v>196</v>
      </c>
      <c r="C39" s="30" t="s">
        <v>197</v>
      </c>
      <c r="D39" s="31">
        <f>원자료!I96</f>
        <v>38850</v>
      </c>
      <c r="E39" s="31">
        <f>D39*원자료!J96/100000000</f>
        <v>6988.1080080000002</v>
      </c>
      <c r="F39" s="32">
        <f>IF(원자료!T96="","미확인",원자료!T96)</f>
        <v>129</v>
      </c>
      <c r="G39" s="31">
        <f>IF(원자료!D96="","미확인",원자료!D96)</f>
        <v>218.6</v>
      </c>
      <c r="H39" s="37">
        <f t="shared" si="0"/>
        <v>0.6945736434108527</v>
      </c>
      <c r="I39" s="32">
        <f>IF(원자료!U96="","미확인",원자료!U96)</f>
        <v>183.8</v>
      </c>
      <c r="J39" s="31">
        <f>IF(원자료!E96="","미확인",원자료!E96)</f>
        <v>315.60000000000002</v>
      </c>
      <c r="K39" s="37">
        <f t="shared" si="1"/>
        <v>0.71708378672470086</v>
      </c>
      <c r="L39" s="46">
        <f t="shared" si="2"/>
        <v>31.967557218664229</v>
      </c>
      <c r="M39" s="33">
        <f t="shared" si="3"/>
        <v>22.142294068441064</v>
      </c>
      <c r="N39" s="47">
        <f>IF(원자료!O96="","미확인",원자료!O96)</f>
        <v>0.26179999999999998</v>
      </c>
      <c r="O39" s="33"/>
      <c r="P39" s="33"/>
      <c r="Q39" s="29" t="s">
        <v>113</v>
      </c>
      <c r="R39" s="1"/>
      <c r="S39" s="1"/>
    </row>
    <row r="40" spans="1:19" ht="21.95" customHeight="1">
      <c r="A40" s="18">
        <v>7</v>
      </c>
      <c r="B40" s="19" t="s">
        <v>39</v>
      </c>
      <c r="C40" s="20" t="s">
        <v>40</v>
      </c>
      <c r="D40" s="21">
        <f>원자료!I15</f>
        <v>13050</v>
      </c>
      <c r="E40" s="21">
        <f>D40*원자료!J15/100000000</f>
        <v>1083.9821985000001</v>
      </c>
      <c r="F40" s="22">
        <f>IF(원자료!T15="","미확인",원자료!T15)</f>
        <v>116</v>
      </c>
      <c r="G40" s="21">
        <f>IF(원자료!D15="","미확인",원자료!D15)</f>
        <v>195</v>
      </c>
      <c r="H40" s="35">
        <f t="shared" si="0"/>
        <v>0.68103448275862077</v>
      </c>
      <c r="I40" s="22">
        <f>IF(원자료!U15="","미확인",원자료!U15)</f>
        <v>161</v>
      </c>
      <c r="J40" s="21">
        <f>IF(원자료!E15="","미확인",원자료!E15)</f>
        <v>288</v>
      </c>
      <c r="K40" s="35">
        <f t="shared" si="1"/>
        <v>0.78881987577639756</v>
      </c>
      <c r="L40" s="42">
        <f t="shared" si="2"/>
        <v>5.5588830692307694</v>
      </c>
      <c r="M40" s="23">
        <f t="shared" si="3"/>
        <v>3.7638270781250003</v>
      </c>
      <c r="N40" s="43">
        <f>IF(원자료!O15="","미확인",원자료!O15)</f>
        <v>0.18840000000000001</v>
      </c>
      <c r="O40" s="23">
        <v>6.4</v>
      </c>
      <c r="P40" s="23">
        <v>4.3</v>
      </c>
      <c r="Q40" s="19" t="s">
        <v>32</v>
      </c>
      <c r="R40" s="1"/>
      <c r="S40" s="1"/>
    </row>
    <row r="41" spans="1:19" ht="21.95" customHeight="1">
      <c r="A41" s="51">
        <v>3</v>
      </c>
      <c r="B41" s="68" t="s">
        <v>30</v>
      </c>
      <c r="C41" s="61" t="s">
        <v>31</v>
      </c>
      <c r="D41" s="62">
        <f>원자료!I12</f>
        <v>14690</v>
      </c>
      <c r="E41" s="62">
        <f>D41*원자료!J12/100000000</f>
        <v>3608.4601201999999</v>
      </c>
      <c r="F41" s="63">
        <f>IF(원자료!T12="","미확인",원자료!T12)</f>
        <v>647.5</v>
      </c>
      <c r="G41" s="62">
        <f>IF(원자료!D12="","미확인",원자료!D12)</f>
        <v>1079</v>
      </c>
      <c r="H41" s="64">
        <f t="shared" si="0"/>
        <v>0.66640926640926645</v>
      </c>
      <c r="I41" s="63">
        <f>IF(원자료!U12="","미확인",원자료!U12)</f>
        <v>1077.33</v>
      </c>
      <c r="J41" s="62">
        <f>IF(원자료!E12="","미확인",원자료!E12)</f>
        <v>1744</v>
      </c>
      <c r="K41" s="64">
        <f t="shared" si="1"/>
        <v>0.61881688990374362</v>
      </c>
      <c r="L41" s="65">
        <f t="shared" si="2"/>
        <v>3.3442633180722892</v>
      </c>
      <c r="M41" s="66">
        <f t="shared" si="3"/>
        <v>2.0690711698394493</v>
      </c>
      <c r="N41" s="67" t="str">
        <f>IF(원자료!O12="","미확인",원자료!O12)</f>
        <v>미확인</v>
      </c>
      <c r="O41" s="66">
        <v>4.3</v>
      </c>
      <c r="P41" s="66">
        <v>2.6</v>
      </c>
      <c r="Q41" s="68" t="s">
        <v>32</v>
      </c>
      <c r="R41" s="1"/>
      <c r="S41" s="1"/>
    </row>
    <row r="42" spans="1:19" ht="21.95" customHeight="1">
      <c r="A42" s="18">
        <v>22</v>
      </c>
      <c r="B42" s="24" t="s">
        <v>69</v>
      </c>
      <c r="C42" s="25" t="s">
        <v>70</v>
      </c>
      <c r="D42" s="26">
        <f>원자료!I28</f>
        <v>26550</v>
      </c>
      <c r="E42" s="26">
        <f>D42*원자료!J28/100000000</f>
        <v>4403.3074109999998</v>
      </c>
      <c r="F42" s="27">
        <f>IF(원자료!T28="","미확인",원자료!T28)</f>
        <v>330</v>
      </c>
      <c r="G42" s="26">
        <f>IF(원자료!D28="","미확인",원자료!D28)</f>
        <v>540</v>
      </c>
      <c r="H42" s="36">
        <f t="shared" ref="H42:H73" si="4">IF(AND(ISNUMBER(F42),ISNUMBER(G42)),IF(F42=0,IF(G42&gt;0,"흑자전환",IF(G42=0,"손익분기","미확인")),IF(F42&lt;0,IF(G42&gt;0,"흑자전환",IF(G42=0,"손익분기","적자지속")),IF(G42&lt;0,"적자전환",IF(G42=0,-1,G42/F42-1)))),"미확인")</f>
        <v>0.63636363636363646</v>
      </c>
      <c r="I42" s="27">
        <f>IF(원자료!U28="","미확인",원자료!U28)</f>
        <v>390</v>
      </c>
      <c r="J42" s="26">
        <f>IF(원자료!E28="","미확인",원자료!E28)</f>
        <v>650</v>
      </c>
      <c r="K42" s="36">
        <f t="shared" ref="K42:K73" si="5">IF(AND(ISNUMBER(I42),ISNUMBER(J42)),IF(I42=0,IF(J42&gt;0,"흑자전환",IF(J42=0,"손익분기","미확인")),IF(I42&lt;0,IF(J42&gt;0,"흑자전환",IF(J42=0,"손익분기","적자지속")),IF(J42&lt;0,"적자전환",IF(J42=0,-1,J42/I42-1)))),"미확인")</f>
        <v>0.66666666666666674</v>
      </c>
      <c r="L42" s="44">
        <f t="shared" ref="L42:L73" si="6">IF(ISNUMBER(G42),IF(G42&gt;0,E42/G42,"적자"),"미산출")</f>
        <v>8.1542729833333336</v>
      </c>
      <c r="M42" s="28">
        <f t="shared" ref="M42:M73" si="7">IF(ISNUMBER(J42),IF(J42&gt;0,E42/J42,"적자"),"미산출")</f>
        <v>6.7743190938461533</v>
      </c>
      <c r="N42" s="45">
        <f>IF(원자료!O28="","미확인",원자료!O28)</f>
        <v>0.40450000000000003</v>
      </c>
      <c r="O42" s="28">
        <v>9.5</v>
      </c>
      <c r="P42" s="28">
        <v>7.9</v>
      </c>
      <c r="Q42" s="24" t="s">
        <v>27</v>
      </c>
      <c r="R42" s="1"/>
      <c r="S42" s="1"/>
    </row>
    <row r="43" spans="1:19" ht="21.95" customHeight="1">
      <c r="A43" s="18">
        <v>40</v>
      </c>
      <c r="B43" s="24" t="s">
        <v>105</v>
      </c>
      <c r="C43" s="25" t="s">
        <v>106</v>
      </c>
      <c r="D43" s="26">
        <f>원자료!I53</f>
        <v>23850</v>
      </c>
      <c r="E43" s="26">
        <f>D43*원자료!J53/100000000</f>
        <v>5499.6196769999997</v>
      </c>
      <c r="F43" s="27">
        <f>IF(원자료!T53="","미확인",원자료!T53)</f>
        <v>303.33</v>
      </c>
      <c r="G43" s="26">
        <f>IF(원자료!D53="","미확인",원자료!D53)</f>
        <v>492</v>
      </c>
      <c r="H43" s="36">
        <f t="shared" si="4"/>
        <v>0.62199584610819914</v>
      </c>
      <c r="I43" s="27">
        <f>IF(원자료!U53="","미확인",원자료!U53)</f>
        <v>548.66999999999996</v>
      </c>
      <c r="J43" s="26">
        <f>IF(원자료!E53="","미확인",원자료!E53)</f>
        <v>858</v>
      </c>
      <c r="K43" s="36">
        <f t="shared" si="5"/>
        <v>0.56378150801027949</v>
      </c>
      <c r="L43" s="44">
        <f t="shared" si="6"/>
        <v>11.178088774390243</v>
      </c>
      <c r="M43" s="28">
        <f t="shared" si="7"/>
        <v>6.4098131433566428</v>
      </c>
      <c r="N43" s="45">
        <f>IF(원자료!O53="","미확인",원자료!O53)</f>
        <v>0.24559999999999998</v>
      </c>
      <c r="O43" s="28">
        <v>14.6</v>
      </c>
      <c r="P43" s="28">
        <v>8.4</v>
      </c>
      <c r="Q43" s="24" t="s">
        <v>32</v>
      </c>
      <c r="R43" s="1"/>
      <c r="S43" s="1"/>
    </row>
    <row r="44" spans="1:19" ht="21.95" customHeight="1">
      <c r="A44" s="18">
        <v>14</v>
      </c>
      <c r="B44" s="24" t="s">
        <v>53</v>
      </c>
      <c r="C44" s="25" t="s">
        <v>54</v>
      </c>
      <c r="D44" s="26">
        <f>원자료!I25</f>
        <v>30500</v>
      </c>
      <c r="E44" s="26">
        <f>D44*원자료!J25/100000000</f>
        <v>3222.05843</v>
      </c>
      <c r="F44" s="27">
        <f>IF(원자료!T25="","미확인",원자료!T25)</f>
        <v>293</v>
      </c>
      <c r="G44" s="26">
        <f>IF(원자료!D25="","미확인",원자료!D25)</f>
        <v>464</v>
      </c>
      <c r="H44" s="36">
        <f t="shared" si="4"/>
        <v>0.58361774744027306</v>
      </c>
      <c r="I44" s="27">
        <f>IF(원자료!U25="","미확인",원자료!U25)</f>
        <v>733.5</v>
      </c>
      <c r="J44" s="26">
        <f>IF(원자료!E25="","미확인",원자료!E25)</f>
        <v>1174</v>
      </c>
      <c r="K44" s="36">
        <f t="shared" si="5"/>
        <v>0.60054533060668036</v>
      </c>
      <c r="L44" s="44">
        <f t="shared" si="6"/>
        <v>6.944091443965517</v>
      </c>
      <c r="M44" s="28">
        <f t="shared" si="7"/>
        <v>2.744513143100511</v>
      </c>
      <c r="N44" s="45">
        <f>IF(원자료!O25="","미확인",원자료!O25)</f>
        <v>0.26150000000000001</v>
      </c>
      <c r="O44" s="28">
        <v>8.8000000000000007</v>
      </c>
      <c r="P44" s="28">
        <v>3.5</v>
      </c>
      <c r="Q44" s="24" t="s">
        <v>32</v>
      </c>
      <c r="R44" s="1"/>
      <c r="S44" s="1"/>
    </row>
    <row r="45" spans="1:19" ht="21.95" customHeight="1">
      <c r="A45" s="51">
        <v>51</v>
      </c>
      <c r="B45" s="68" t="s">
        <v>128</v>
      </c>
      <c r="C45" s="61" t="s">
        <v>129</v>
      </c>
      <c r="D45" s="62">
        <f>원자료!I59</f>
        <v>44200</v>
      </c>
      <c r="E45" s="62">
        <f>D45*원자료!J59/100000000</f>
        <v>5768.4522740000002</v>
      </c>
      <c r="F45" s="63">
        <f>IF(원자료!T59="","미확인",원자료!T59)</f>
        <v>267.67</v>
      </c>
      <c r="G45" s="62">
        <f>IF(원자료!D59="","미확인",원자료!D59)</f>
        <v>415</v>
      </c>
      <c r="H45" s="64">
        <f t="shared" si="4"/>
        <v>0.55041655770164755</v>
      </c>
      <c r="I45" s="63">
        <f>IF(원자료!U59="","미확인",원자료!U59)</f>
        <v>216.33</v>
      </c>
      <c r="J45" s="62">
        <f>IF(원자료!E59="","미확인",원자료!E59)</f>
        <v>413</v>
      </c>
      <c r="K45" s="64">
        <f t="shared" si="5"/>
        <v>0.90912032542874299</v>
      </c>
      <c r="L45" s="65">
        <f t="shared" si="6"/>
        <v>13.899884997590362</v>
      </c>
      <c r="M45" s="66">
        <f t="shared" si="7"/>
        <v>13.967196789346248</v>
      </c>
      <c r="N45" s="67">
        <f>IF(원자료!O59="","미확인",원자료!O59)</f>
        <v>0.1704</v>
      </c>
      <c r="O45" s="66">
        <v>17.8</v>
      </c>
      <c r="P45" s="66">
        <v>17.899999999999999</v>
      </c>
      <c r="Q45" s="68" t="s">
        <v>27</v>
      </c>
      <c r="R45" s="1"/>
      <c r="S45" s="1"/>
    </row>
    <row r="46" spans="1:19" ht="21.95" customHeight="1">
      <c r="A46" s="51">
        <v>57</v>
      </c>
      <c r="B46" s="68" t="s">
        <v>140</v>
      </c>
      <c r="C46" s="61" t="s">
        <v>141</v>
      </c>
      <c r="D46" s="62">
        <f>원자료!I69</f>
        <v>92100</v>
      </c>
      <c r="E46" s="62">
        <f>D46*원자료!J69/100000000</f>
        <v>67609.890698999996</v>
      </c>
      <c r="F46" s="63">
        <f>IF(원자료!T69="","미확인",원자료!T69)</f>
        <v>2743</v>
      </c>
      <c r="G46" s="62">
        <f>IF(원자료!D69="","미확인",원자료!D69)</f>
        <v>4240</v>
      </c>
      <c r="H46" s="64">
        <f t="shared" si="4"/>
        <v>0.54575282537367853</v>
      </c>
      <c r="I46" s="63">
        <f>IF(원자료!U69="","미확인",원자료!U69)</f>
        <v>3491.33</v>
      </c>
      <c r="J46" s="62">
        <f>IF(원자료!E69="","미확인",원자료!E69)</f>
        <v>5292</v>
      </c>
      <c r="K46" s="64">
        <f t="shared" si="5"/>
        <v>0.5157547410299228</v>
      </c>
      <c r="L46" s="65">
        <f t="shared" si="6"/>
        <v>15.945728938443395</v>
      </c>
      <c r="M46" s="66">
        <f t="shared" si="7"/>
        <v>12.775867479024942</v>
      </c>
      <c r="N46" s="67">
        <f>IF(원자료!O69="","미확인",원자료!O69)</f>
        <v>0.34700000000000003</v>
      </c>
      <c r="O46" s="66">
        <v>20.9</v>
      </c>
      <c r="P46" s="66">
        <v>16.8</v>
      </c>
      <c r="Q46" s="68" t="s">
        <v>27</v>
      </c>
      <c r="R46" s="1"/>
      <c r="S46" s="1"/>
    </row>
    <row r="47" spans="1:19" ht="21.95" customHeight="1">
      <c r="A47" s="18">
        <v>71</v>
      </c>
      <c r="B47" s="19" t="s">
        <v>168</v>
      </c>
      <c r="C47" s="20" t="s">
        <v>169</v>
      </c>
      <c r="D47" s="21">
        <f>원자료!I78</f>
        <v>17630</v>
      </c>
      <c r="E47" s="21">
        <f>D47*원자료!J78/100000000</f>
        <v>1926.1935054</v>
      </c>
      <c r="F47" s="22">
        <f>IF(원자료!T78="","미확인",원자료!T78)</f>
        <v>60</v>
      </c>
      <c r="G47" s="21">
        <f>IF(원자료!D78="","미확인",원자료!D78)</f>
        <v>92</v>
      </c>
      <c r="H47" s="35">
        <f t="shared" si="4"/>
        <v>0.53333333333333344</v>
      </c>
      <c r="I47" s="22">
        <f>IF(원자료!U78="","미확인",원자료!U78)</f>
        <v>50</v>
      </c>
      <c r="J47" s="21">
        <f>IF(원자료!E78="","미확인",원자료!E78)</f>
        <v>92</v>
      </c>
      <c r="K47" s="35">
        <f t="shared" si="5"/>
        <v>0.84000000000000008</v>
      </c>
      <c r="L47" s="42">
        <f t="shared" si="6"/>
        <v>20.936885928260871</v>
      </c>
      <c r="M47" s="23">
        <f t="shared" si="7"/>
        <v>20.936885928260871</v>
      </c>
      <c r="N47" s="43">
        <f>IF(원자료!O78="","미확인",원자료!O78)</f>
        <v>0.1396</v>
      </c>
      <c r="O47" s="23">
        <v>25.4</v>
      </c>
      <c r="P47" s="23">
        <v>25.4</v>
      </c>
      <c r="Q47" s="19" t="s">
        <v>27</v>
      </c>
      <c r="R47" s="1"/>
      <c r="S47" s="1"/>
    </row>
    <row r="48" spans="1:19" ht="21.95" customHeight="1">
      <c r="A48" s="18">
        <v>83</v>
      </c>
      <c r="B48" s="19" t="s">
        <v>192</v>
      </c>
      <c r="C48" s="20" t="s">
        <v>193</v>
      </c>
      <c r="D48" s="21">
        <f>원자료!I89</f>
        <v>414500</v>
      </c>
      <c r="E48" s="21">
        <f>D48*원자료!J89/100000000</f>
        <v>51064.534749999999</v>
      </c>
      <c r="F48" s="22">
        <f>IF(원자료!T89="","미확인",원자료!T89)</f>
        <v>1152</v>
      </c>
      <c r="G48" s="21">
        <f>IF(원자료!D89="","미확인",원자료!D89)</f>
        <v>1754</v>
      </c>
      <c r="H48" s="35">
        <f t="shared" si="4"/>
        <v>0.52256944444444442</v>
      </c>
      <c r="I48" s="22">
        <f>IF(원자료!U89="","미확인",원자료!U89)</f>
        <v>1332</v>
      </c>
      <c r="J48" s="21">
        <f>IF(원자료!E89="","미확인",원자료!E89)</f>
        <v>2144</v>
      </c>
      <c r="K48" s="35">
        <f t="shared" si="5"/>
        <v>0.60960960960960953</v>
      </c>
      <c r="L48" s="42">
        <f t="shared" si="6"/>
        <v>29.113189709236032</v>
      </c>
      <c r="M48" s="23">
        <f t="shared" si="7"/>
        <v>23.817413596082091</v>
      </c>
      <c r="N48" s="43">
        <f>IF(원자료!O89="","미확인",원자료!O89)</f>
        <v>0.2039</v>
      </c>
      <c r="O48" s="23">
        <v>35.9</v>
      </c>
      <c r="P48" s="23">
        <v>29.4</v>
      </c>
      <c r="Q48" s="19" t="s">
        <v>27</v>
      </c>
      <c r="R48" s="1"/>
      <c r="S48" s="1"/>
    </row>
    <row r="49" spans="1:19" ht="21.95" customHeight="1">
      <c r="A49" s="51">
        <v>19</v>
      </c>
      <c r="B49" s="68" t="s">
        <v>63</v>
      </c>
      <c r="C49" s="61" t="s">
        <v>64</v>
      </c>
      <c r="D49" s="62">
        <f>원자료!I32</f>
        <v>14870</v>
      </c>
      <c r="E49" s="62">
        <f>D49*원자료!J32/100000000</f>
        <v>3412.1714646999999</v>
      </c>
      <c r="F49" s="63">
        <f>IF(원자료!T32="","미확인",원자료!T32)</f>
        <v>293.5</v>
      </c>
      <c r="G49" s="62">
        <f>IF(원자료!D32="","미확인",원자료!D32)</f>
        <v>440</v>
      </c>
      <c r="H49" s="64">
        <f t="shared" si="4"/>
        <v>0.49914821124361164</v>
      </c>
      <c r="I49" s="63">
        <f>IF(원자료!U32="","미확인",원자료!U32)</f>
        <v>345.74</v>
      </c>
      <c r="J49" s="62">
        <f>IF(원자료!E32="","미확인",원자료!E32)</f>
        <v>516</v>
      </c>
      <c r="K49" s="64">
        <f t="shared" si="5"/>
        <v>0.4924509747208885</v>
      </c>
      <c r="L49" s="65">
        <f t="shared" si="6"/>
        <v>7.7549351470454546</v>
      </c>
      <c r="M49" s="66">
        <f t="shared" si="7"/>
        <v>6.6127353967054265</v>
      </c>
      <c r="N49" s="67" t="str">
        <f>IF(원자료!O32="","미확인",원자료!O32)</f>
        <v>미확인</v>
      </c>
      <c r="O49" s="66">
        <v>10.199999999999999</v>
      </c>
      <c r="P49" s="66">
        <v>8.6999999999999993</v>
      </c>
      <c r="Q49" s="68" t="s">
        <v>27</v>
      </c>
      <c r="R49" s="1"/>
      <c r="S49" s="1"/>
    </row>
    <row r="50" spans="1:19" ht="21.95" customHeight="1">
      <c r="A50" s="18">
        <v>1</v>
      </c>
      <c r="B50" s="19" t="s">
        <v>25</v>
      </c>
      <c r="C50" s="20" t="s">
        <v>26</v>
      </c>
      <c r="D50" s="21">
        <f>원자료!I10</f>
        <v>207500</v>
      </c>
      <c r="E50" s="21">
        <f>D50*원자료!J10/100000000</f>
        <v>12131028.1116</v>
      </c>
      <c r="F50" s="22">
        <f>IF(원자료!T10="","미확인",원자료!T10)</f>
        <v>3036390.95</v>
      </c>
      <c r="G50" s="21">
        <f>IF(원자료!D10="","미확인",원자료!D10)</f>
        <v>4500000</v>
      </c>
      <c r="H50" s="35">
        <f t="shared" si="4"/>
        <v>0.48202259659613311</v>
      </c>
      <c r="I50" s="22">
        <f>IF(원자료!U10="","미확인",원자료!U10)</f>
        <v>3716393.43</v>
      </c>
      <c r="J50" s="21">
        <f>IF(원자료!E10="","미확인",원자료!E10)</f>
        <v>5550000</v>
      </c>
      <c r="K50" s="35">
        <f t="shared" si="5"/>
        <v>0.49338333105383825</v>
      </c>
      <c r="L50" s="42">
        <f t="shared" si="6"/>
        <v>2.6957840248</v>
      </c>
      <c r="M50" s="23">
        <f t="shared" si="7"/>
        <v>2.1857708309189188</v>
      </c>
      <c r="N50" s="43">
        <f>IF(원자료!O10="","미확인",원자료!O10)</f>
        <v>0.50319999999999998</v>
      </c>
      <c r="O50" s="23">
        <v>3.3</v>
      </c>
      <c r="P50" s="23">
        <v>2.6</v>
      </c>
      <c r="Q50" s="19" t="s">
        <v>27</v>
      </c>
      <c r="R50" s="1"/>
      <c r="S50" s="1"/>
    </row>
    <row r="51" spans="1:19" ht="21.95" customHeight="1">
      <c r="A51" s="51">
        <v>48</v>
      </c>
      <c r="B51" s="52" t="s">
        <v>122</v>
      </c>
      <c r="C51" s="53" t="s">
        <v>123</v>
      </c>
      <c r="D51" s="54">
        <f>원자료!I55</f>
        <v>52200</v>
      </c>
      <c r="E51" s="54">
        <f>D51*원자료!J55/100000000</f>
        <v>6445.2284820000004</v>
      </c>
      <c r="F51" s="55">
        <f>IF(원자료!T55="","미확인",원자료!T55)</f>
        <v>328.5</v>
      </c>
      <c r="G51" s="54">
        <f>IF(원자료!D55="","미확인",원자료!D55)</f>
        <v>482</v>
      </c>
      <c r="H51" s="56">
        <f t="shared" si="4"/>
        <v>0.46727549467275487</v>
      </c>
      <c r="I51" s="55">
        <f>IF(원자료!U55="","미확인",원자료!U55)</f>
        <v>360</v>
      </c>
      <c r="J51" s="54">
        <f>IF(원자료!E55="","미확인",원자료!E55)</f>
        <v>536</v>
      </c>
      <c r="K51" s="56">
        <f t="shared" si="5"/>
        <v>0.48888888888888893</v>
      </c>
      <c r="L51" s="57">
        <f t="shared" si="6"/>
        <v>13.371843323651452</v>
      </c>
      <c r="M51" s="58">
        <f t="shared" si="7"/>
        <v>12.024680003731344</v>
      </c>
      <c r="N51" s="59">
        <f>IF(원자료!O55="","미확인",원자료!O55)</f>
        <v>0.24309999999999998</v>
      </c>
      <c r="O51" s="58">
        <v>16.2</v>
      </c>
      <c r="P51" s="58">
        <v>14.6</v>
      </c>
      <c r="Q51" s="52" t="s">
        <v>27</v>
      </c>
      <c r="R51" s="1"/>
      <c r="S51" s="1"/>
    </row>
    <row r="52" spans="1:19" ht="21.95" customHeight="1">
      <c r="A52" s="18">
        <v>32</v>
      </c>
      <c r="B52" s="24" t="s">
        <v>89</v>
      </c>
      <c r="C52" s="25" t="s">
        <v>90</v>
      </c>
      <c r="D52" s="26">
        <f>원자료!I47</f>
        <v>45050</v>
      </c>
      <c r="E52" s="26">
        <f>D52*원자료!J47/100000000</f>
        <v>11963.507282500001</v>
      </c>
      <c r="F52" s="27">
        <f>IF(원자료!T47="","미확인",원자료!T47)</f>
        <v>810</v>
      </c>
      <c r="G52" s="26">
        <f>IF(원자료!D47="","미확인",원자료!D47)</f>
        <v>1187</v>
      </c>
      <c r="H52" s="36">
        <f t="shared" si="4"/>
        <v>0.46543209876543212</v>
      </c>
      <c r="I52" s="27">
        <f>IF(원자료!U47="","미확인",원자료!U47)</f>
        <v>926</v>
      </c>
      <c r="J52" s="26">
        <f>IF(원자료!E47="","미확인",원자료!E47)</f>
        <v>1358</v>
      </c>
      <c r="K52" s="36">
        <f t="shared" si="5"/>
        <v>0.46652267818574522</v>
      </c>
      <c r="L52" s="44">
        <f t="shared" si="6"/>
        <v>10.078776143639427</v>
      </c>
      <c r="M52" s="28">
        <f t="shared" si="7"/>
        <v>8.8096519016936679</v>
      </c>
      <c r="N52" s="45">
        <f>IF(원자료!O47="","미확인",원자료!O47)</f>
        <v>0.39600000000000002</v>
      </c>
      <c r="O52" s="28">
        <v>13.9</v>
      </c>
      <c r="P52" s="28">
        <v>12.1</v>
      </c>
      <c r="Q52" s="24" t="s">
        <v>27</v>
      </c>
      <c r="R52" s="1"/>
      <c r="S52" s="1"/>
    </row>
    <row r="53" spans="1:19" ht="21.95" customHeight="1">
      <c r="A53" s="18">
        <v>6</v>
      </c>
      <c r="B53" s="24" t="s">
        <v>37</v>
      </c>
      <c r="C53" s="25" t="s">
        <v>38</v>
      </c>
      <c r="D53" s="26">
        <f>원자료!I17</f>
        <v>25050</v>
      </c>
      <c r="E53" s="26">
        <f>D53*원자료!J17/100000000</f>
        <v>2010.3614474999999</v>
      </c>
      <c r="F53" s="27">
        <f>IF(원자료!T17="","미확인",원자료!T17)</f>
        <v>250</v>
      </c>
      <c r="G53" s="26">
        <f>IF(원자료!D17="","미확인",원자료!D17)</f>
        <v>366</v>
      </c>
      <c r="H53" s="36">
        <f t="shared" si="4"/>
        <v>0.46399999999999997</v>
      </c>
      <c r="I53" s="27">
        <f>IF(원자료!U17="","미확인",원자료!U17)</f>
        <v>312</v>
      </c>
      <c r="J53" s="26">
        <f>IF(원자료!E17="","미확인",원자료!E17)</f>
        <v>444</v>
      </c>
      <c r="K53" s="36">
        <f t="shared" si="5"/>
        <v>0.42307692307692313</v>
      </c>
      <c r="L53" s="44">
        <f t="shared" si="6"/>
        <v>5.4927908401639343</v>
      </c>
      <c r="M53" s="28">
        <f t="shared" si="7"/>
        <v>4.5278410979729724</v>
      </c>
      <c r="N53" s="45">
        <f>IF(원자료!O17="","미확인",원자료!O17)</f>
        <v>0.26329999999999998</v>
      </c>
      <c r="O53" s="28">
        <v>7</v>
      </c>
      <c r="P53" s="28">
        <v>5.8</v>
      </c>
      <c r="Q53" s="24" t="s">
        <v>27</v>
      </c>
      <c r="R53" s="1"/>
      <c r="S53" s="1"/>
    </row>
    <row r="54" spans="1:19" ht="21.95" customHeight="1">
      <c r="A54" s="51">
        <v>49</v>
      </c>
      <c r="B54" s="68" t="s">
        <v>124</v>
      </c>
      <c r="C54" s="61" t="s">
        <v>125</v>
      </c>
      <c r="D54" s="62">
        <f>원자료!I60</f>
        <v>37600</v>
      </c>
      <c r="E54" s="62">
        <f>D54*원자료!J60/100000000</f>
        <v>8911.6737599999997</v>
      </c>
      <c r="F54" s="63">
        <f>IF(원자료!T60="","미확인",원자료!T60)</f>
        <v>459.5</v>
      </c>
      <c r="G54" s="62">
        <f>IF(원자료!D60="","미확인",원자료!D60)</f>
        <v>665</v>
      </c>
      <c r="H54" s="64">
        <f t="shared" si="4"/>
        <v>0.44722524483133852</v>
      </c>
      <c r="I54" s="63">
        <f>IF(원자료!U60="","미확인",원자료!U60)</f>
        <v>568.27</v>
      </c>
      <c r="J54" s="62">
        <f>IF(원자료!E60="","미확인",원자료!E60)</f>
        <v>828</v>
      </c>
      <c r="K54" s="64">
        <f t="shared" si="5"/>
        <v>0.45705386524011482</v>
      </c>
      <c r="L54" s="65">
        <f t="shared" si="6"/>
        <v>13.401013172932331</v>
      </c>
      <c r="M54" s="66">
        <f t="shared" si="7"/>
        <v>10.762891014492753</v>
      </c>
      <c r="N54" s="67">
        <f>IF(원자료!O60="","미확인",원자료!O60)</f>
        <v>0.24890000000000001</v>
      </c>
      <c r="O54" s="66">
        <v>18.2</v>
      </c>
      <c r="P54" s="66">
        <v>14.6</v>
      </c>
      <c r="Q54" s="68" t="s">
        <v>27</v>
      </c>
      <c r="R54" s="1"/>
      <c r="S54" s="1"/>
    </row>
    <row r="55" spans="1:19" ht="21.95" customHeight="1">
      <c r="A55" s="18">
        <v>74</v>
      </c>
      <c r="B55" s="24" t="s">
        <v>174</v>
      </c>
      <c r="C55" s="25" t="s">
        <v>175</v>
      </c>
      <c r="D55" s="26">
        <f>원자료!I85</f>
        <v>47700</v>
      </c>
      <c r="E55" s="26">
        <f>D55*원자료!J85/100000000</f>
        <v>39257.1</v>
      </c>
      <c r="F55" s="27">
        <f>IF(원자료!T85="","미확인",원자료!T85)</f>
        <v>1201.67</v>
      </c>
      <c r="G55" s="26">
        <f>IF(원자료!D85="","미확인",원자료!D85)</f>
        <v>1737</v>
      </c>
      <c r="H55" s="36">
        <f t="shared" si="4"/>
        <v>0.44548836202950892</v>
      </c>
      <c r="I55" s="27">
        <f>IF(원자료!U85="","미확인",원자료!U85)</f>
        <v>1391</v>
      </c>
      <c r="J55" s="26">
        <f>IF(원자료!E85="","미확인",원자료!E85)</f>
        <v>2150</v>
      </c>
      <c r="K55" s="36">
        <f t="shared" si="5"/>
        <v>0.54565061107117185</v>
      </c>
      <c r="L55" s="44">
        <f t="shared" si="6"/>
        <v>22.600518134715024</v>
      </c>
      <c r="M55" s="28">
        <f t="shared" si="7"/>
        <v>18.259116279069765</v>
      </c>
      <c r="N55" s="45">
        <f>IF(원자료!O85="","미확인",원자료!O85)</f>
        <v>0.37689999999999996</v>
      </c>
      <c r="O55" s="28">
        <v>28.9</v>
      </c>
      <c r="P55" s="28">
        <v>23.4</v>
      </c>
      <c r="Q55" s="24" t="s">
        <v>27</v>
      </c>
      <c r="R55" s="1"/>
      <c r="S55" s="1"/>
    </row>
    <row r="56" spans="1:19" ht="21.95" customHeight="1">
      <c r="A56" s="18">
        <v>44</v>
      </c>
      <c r="B56" s="24" t="s">
        <v>114</v>
      </c>
      <c r="C56" s="25" t="s">
        <v>115</v>
      </c>
      <c r="D56" s="26">
        <f>원자료!I54</f>
        <v>62300</v>
      </c>
      <c r="E56" s="26">
        <f>D56*원자료!J54/100000000</f>
        <v>14941.172259999999</v>
      </c>
      <c r="F56" s="27">
        <f>IF(원자료!T54="","미확인",원자료!T54)</f>
        <v>849</v>
      </c>
      <c r="G56" s="26">
        <f>IF(원자료!D54="","미확인",원자료!D54)</f>
        <v>1223</v>
      </c>
      <c r="H56" s="36">
        <f t="shared" si="4"/>
        <v>0.44051825677267376</v>
      </c>
      <c r="I56" s="27">
        <f>IF(원자료!U54="","미확인",원자료!U54)</f>
        <v>970.5</v>
      </c>
      <c r="J56" s="26">
        <f>IF(원자료!E54="","미확인",원자료!E54)</f>
        <v>1594</v>
      </c>
      <c r="K56" s="36">
        <f t="shared" si="5"/>
        <v>0.64245234415249874</v>
      </c>
      <c r="L56" s="44">
        <f t="shared" si="6"/>
        <v>12.216821144726083</v>
      </c>
      <c r="M56" s="28">
        <f t="shared" si="7"/>
        <v>9.3733828481806771</v>
      </c>
      <c r="N56" s="45">
        <f>IF(원자료!O54="","미확인",원자료!O54)</f>
        <v>0.20989999999999998</v>
      </c>
      <c r="O56" s="28">
        <v>15.8</v>
      </c>
      <c r="P56" s="28">
        <v>12.1</v>
      </c>
      <c r="Q56" s="24" t="s">
        <v>32</v>
      </c>
      <c r="R56" s="1"/>
      <c r="S56" s="1"/>
    </row>
    <row r="57" spans="1:19" ht="21.95" customHeight="1">
      <c r="A57" s="18">
        <v>15</v>
      </c>
      <c r="B57" s="19" t="s">
        <v>55</v>
      </c>
      <c r="C57" s="20" t="s">
        <v>56</v>
      </c>
      <c r="D57" s="21">
        <f>원자료!I27</f>
        <v>47700</v>
      </c>
      <c r="E57" s="21">
        <f>D57*원자료!J27/100000000</f>
        <v>8109</v>
      </c>
      <c r="F57" s="22">
        <f>IF(원자료!T27="","미확인",원자료!T27)</f>
        <v>812.3</v>
      </c>
      <c r="G57" s="21">
        <f>IF(원자료!D27="","미확인",원자료!D27)</f>
        <v>1164</v>
      </c>
      <c r="H57" s="35">
        <f t="shared" si="4"/>
        <v>0.43296811522836398</v>
      </c>
      <c r="I57" s="22">
        <f>IF(원자료!U27="","미확인",원자료!U27)</f>
        <v>1025.5</v>
      </c>
      <c r="J57" s="21">
        <f>IF(원자료!E27="","미확인",원자료!E27)</f>
        <v>1498</v>
      </c>
      <c r="K57" s="35">
        <f t="shared" si="5"/>
        <v>0.46075085324232079</v>
      </c>
      <c r="L57" s="42">
        <f t="shared" si="6"/>
        <v>6.9664948453608249</v>
      </c>
      <c r="M57" s="23">
        <f t="shared" si="7"/>
        <v>5.4132176234979976</v>
      </c>
      <c r="N57" s="43">
        <f>IF(원자료!O27="","미확인",원자료!O27)</f>
        <v>0.16870000000000002</v>
      </c>
      <c r="O57" s="23">
        <v>9.1</v>
      </c>
      <c r="P57" s="23">
        <v>7.1</v>
      </c>
      <c r="Q57" s="19" t="s">
        <v>27</v>
      </c>
      <c r="R57" s="1"/>
      <c r="S57" s="1"/>
    </row>
    <row r="58" spans="1:19" ht="21.95" customHeight="1">
      <c r="A58" s="51">
        <v>66</v>
      </c>
      <c r="B58" s="52" t="s">
        <v>158</v>
      </c>
      <c r="C58" s="53" t="s">
        <v>159</v>
      </c>
      <c r="D58" s="54">
        <f>원자료!I72</f>
        <v>122700</v>
      </c>
      <c r="E58" s="54">
        <f>D58*원자료!J72/100000000</f>
        <v>60634.566975000002</v>
      </c>
      <c r="F58" s="55">
        <f>IF(원자료!T72="","미확인",원자료!T72)</f>
        <v>2319.42</v>
      </c>
      <c r="G58" s="54">
        <f>IF(원자료!D72="","미확인",원자료!D72)</f>
        <v>3323</v>
      </c>
      <c r="H58" s="56">
        <f t="shared" si="4"/>
        <v>0.43268575764630812</v>
      </c>
      <c r="I58" s="55">
        <f>IF(원자료!U72="","미확인",원자료!U72)</f>
        <v>2775</v>
      </c>
      <c r="J58" s="54">
        <f>IF(원자료!E72="","미확인",원자료!E72)</f>
        <v>4098</v>
      </c>
      <c r="K58" s="56">
        <f t="shared" si="5"/>
        <v>0.47675675675675677</v>
      </c>
      <c r="L58" s="57">
        <f t="shared" si="6"/>
        <v>18.246935592837797</v>
      </c>
      <c r="M58" s="58">
        <f t="shared" si="7"/>
        <v>14.796136401903368</v>
      </c>
      <c r="N58" s="59">
        <f>IF(원자료!O72="","미확인",원자료!O72)</f>
        <v>0.26569999999999999</v>
      </c>
      <c r="O58" s="58">
        <v>21.8</v>
      </c>
      <c r="P58" s="58">
        <v>17.7</v>
      </c>
      <c r="Q58" s="52" t="s">
        <v>27</v>
      </c>
      <c r="R58" s="1"/>
      <c r="S58" s="1"/>
    </row>
    <row r="59" spans="1:19" ht="21.95" customHeight="1">
      <c r="A59" s="18">
        <v>16</v>
      </c>
      <c r="B59" s="24" t="s">
        <v>57</v>
      </c>
      <c r="C59" s="25" t="s">
        <v>58</v>
      </c>
      <c r="D59" s="26">
        <f>원자료!I23</f>
        <v>11810</v>
      </c>
      <c r="E59" s="26">
        <f>D59*원자료!J23/100000000</f>
        <v>3323.7088494</v>
      </c>
      <c r="F59" s="27">
        <f>IF(원자료!T23="","미확인",원자료!T23)</f>
        <v>337</v>
      </c>
      <c r="G59" s="26">
        <f>IF(원자료!D23="","미확인",원자료!D23)</f>
        <v>477</v>
      </c>
      <c r="H59" s="36">
        <f t="shared" si="4"/>
        <v>0.41543026706231445</v>
      </c>
      <c r="I59" s="27">
        <f>IF(원자료!U23="","미확인",원자료!U23)</f>
        <v>427</v>
      </c>
      <c r="J59" s="26">
        <f>IF(원자료!E23="","미확인",원자료!E23)</f>
        <v>613</v>
      </c>
      <c r="K59" s="36">
        <f t="shared" si="5"/>
        <v>0.43559718969555039</v>
      </c>
      <c r="L59" s="44">
        <f t="shared" si="6"/>
        <v>6.9679430805031446</v>
      </c>
      <c r="M59" s="28">
        <f t="shared" si="7"/>
        <v>5.4220372747145191</v>
      </c>
      <c r="N59" s="45" t="str">
        <f>IF(원자료!O23="","미확인",원자료!O23)</f>
        <v>미확인</v>
      </c>
      <c r="O59" s="28">
        <v>8.6999999999999993</v>
      </c>
      <c r="P59" s="28">
        <v>6.7</v>
      </c>
      <c r="Q59" s="24" t="s">
        <v>27</v>
      </c>
      <c r="R59" s="1"/>
      <c r="S59" s="1"/>
    </row>
    <row r="60" spans="1:19" ht="21.95" customHeight="1">
      <c r="A60" s="18">
        <v>68</v>
      </c>
      <c r="B60" s="24" t="s">
        <v>162</v>
      </c>
      <c r="C60" s="25" t="s">
        <v>163</v>
      </c>
      <c r="D60" s="26">
        <f>원자료!I71</f>
        <v>179700</v>
      </c>
      <c r="E60" s="26">
        <f>D60*원자료!J71/100000000</f>
        <v>38747.623814999999</v>
      </c>
      <c r="F60" s="27">
        <f>IF(원자료!T71="","미확인",원자료!T71)</f>
        <v>1436.4</v>
      </c>
      <c r="G60" s="26">
        <f>IF(원자료!D71="","미확인",원자료!D71)</f>
        <v>2019</v>
      </c>
      <c r="H60" s="36">
        <f t="shared" si="4"/>
        <v>0.40559732664995818</v>
      </c>
      <c r="I60" s="27">
        <f>IF(원자료!U71="","미확인",원자료!U71)</f>
        <v>1103.2</v>
      </c>
      <c r="J60" s="26">
        <f>IF(원자료!E71="","미확인",원자료!E71)</f>
        <v>1657</v>
      </c>
      <c r="K60" s="36">
        <f t="shared" si="5"/>
        <v>0.5019941986947063</v>
      </c>
      <c r="L60" s="44">
        <f t="shared" si="6"/>
        <v>19.191492726597325</v>
      </c>
      <c r="M60" s="28">
        <f t="shared" si="7"/>
        <v>23.384202664453831</v>
      </c>
      <c r="N60" s="45">
        <f>IF(원자료!O71="","미확인",원자료!O71)</f>
        <v>0.29260000000000003</v>
      </c>
      <c r="O60" s="28">
        <v>21.5</v>
      </c>
      <c r="P60" s="28">
        <v>26.2</v>
      </c>
      <c r="Q60" s="24" t="s">
        <v>27</v>
      </c>
      <c r="R60" s="1"/>
      <c r="S60" s="1"/>
    </row>
    <row r="61" spans="1:19" ht="21.95" customHeight="1">
      <c r="A61" s="18">
        <v>36</v>
      </c>
      <c r="B61" s="24" t="s">
        <v>97</v>
      </c>
      <c r="C61" s="25" t="s">
        <v>98</v>
      </c>
      <c r="D61" s="26">
        <f>원자료!I52</f>
        <v>24100</v>
      </c>
      <c r="E61" s="26">
        <f>D61*원자료!J52/100000000</f>
        <v>2936.3548449999998</v>
      </c>
      <c r="F61" s="27">
        <f>IF(원자료!T52="","미확인",원자료!T52)</f>
        <v>199</v>
      </c>
      <c r="G61" s="26">
        <f>IF(원자료!D52="","미확인",원자료!D52)</f>
        <v>276</v>
      </c>
      <c r="H61" s="36">
        <f t="shared" si="4"/>
        <v>0.38693467336683418</v>
      </c>
      <c r="I61" s="27">
        <f>IF(원자료!U52="","미확인",원자료!U52)</f>
        <v>257.33</v>
      </c>
      <c r="J61" s="26">
        <f>IF(원자료!E52="","미확인",원자료!E52)</f>
        <v>382</v>
      </c>
      <c r="K61" s="36">
        <f t="shared" si="5"/>
        <v>0.48447518750242891</v>
      </c>
      <c r="L61" s="44">
        <f t="shared" si="6"/>
        <v>10.638966829710144</v>
      </c>
      <c r="M61" s="28">
        <f t="shared" si="7"/>
        <v>7.6867927879581144</v>
      </c>
      <c r="N61" s="45">
        <f>IF(원자료!O52="","미확인",원자료!O52)</f>
        <v>0.13639999999999999</v>
      </c>
      <c r="O61" s="28">
        <v>14.3</v>
      </c>
      <c r="P61" s="28">
        <v>10.3</v>
      </c>
      <c r="Q61" s="24" t="s">
        <v>27</v>
      </c>
      <c r="R61" s="1"/>
      <c r="S61" s="1"/>
    </row>
    <row r="62" spans="1:19" ht="21.95" customHeight="1">
      <c r="A62" s="18">
        <v>17</v>
      </c>
      <c r="B62" s="19" t="s">
        <v>59</v>
      </c>
      <c r="C62" s="20" t="s">
        <v>60</v>
      </c>
      <c r="D62" s="21">
        <f>원자료!I24</f>
        <v>8460</v>
      </c>
      <c r="E62" s="21">
        <f>D62*원자료!J24/100000000</f>
        <v>2594.1932658000001</v>
      </c>
      <c r="F62" s="22">
        <f>IF(원자료!T24="","미확인",원자료!T24)</f>
        <v>269</v>
      </c>
      <c r="G62" s="21">
        <f>IF(원자료!D24="","미확인",원자료!D24)</f>
        <v>372</v>
      </c>
      <c r="H62" s="35">
        <f t="shared" si="4"/>
        <v>0.38289962825278812</v>
      </c>
      <c r="I62" s="22">
        <f>IF(원자료!U24="","미확인",원자료!U24)</f>
        <v>280</v>
      </c>
      <c r="J62" s="21">
        <f>IF(원자료!E24="","미확인",원자료!E24)</f>
        <v>422</v>
      </c>
      <c r="K62" s="35">
        <f t="shared" si="5"/>
        <v>0.50714285714285712</v>
      </c>
      <c r="L62" s="42">
        <f t="shared" si="6"/>
        <v>6.973637811290323</v>
      </c>
      <c r="M62" s="23">
        <f t="shared" si="7"/>
        <v>6.1473774071090048</v>
      </c>
      <c r="N62" s="43">
        <f>IF(원자료!O24="","미확인",원자료!O24)</f>
        <v>0.1305</v>
      </c>
      <c r="O62" s="23">
        <v>8.8000000000000007</v>
      </c>
      <c r="P62" s="23">
        <v>7.8</v>
      </c>
      <c r="Q62" s="19" t="s">
        <v>27</v>
      </c>
      <c r="R62" s="1"/>
      <c r="S62" s="1"/>
    </row>
    <row r="63" spans="1:19" ht="21.95" customHeight="1">
      <c r="A63" s="51">
        <v>38</v>
      </c>
      <c r="B63" s="52" t="s">
        <v>101</v>
      </c>
      <c r="C63" s="53" t="s">
        <v>102</v>
      </c>
      <c r="D63" s="54">
        <f>원자료!I50</f>
        <v>10400</v>
      </c>
      <c r="E63" s="54">
        <f>D63*원자료!J50/100000000</f>
        <v>4725.4482079999998</v>
      </c>
      <c r="F63" s="55">
        <f>IF(원자료!T50="","미확인",원자료!T50)</f>
        <v>315.33</v>
      </c>
      <c r="G63" s="54">
        <f>IF(원자료!D50="","미확인",원자료!D50)</f>
        <v>434</v>
      </c>
      <c r="H63" s="56">
        <f t="shared" si="4"/>
        <v>0.37633590207084655</v>
      </c>
      <c r="I63" s="55">
        <f>IF(원자료!U50="","미확인",원자료!U50)</f>
        <v>343.4</v>
      </c>
      <c r="J63" s="54">
        <f>IF(원자료!E50="","미확인",원자료!E50)</f>
        <v>577</v>
      </c>
      <c r="K63" s="56">
        <f t="shared" si="5"/>
        <v>0.68025626092020985</v>
      </c>
      <c r="L63" s="57">
        <f t="shared" si="6"/>
        <v>10.888129511520736</v>
      </c>
      <c r="M63" s="58">
        <f t="shared" si="7"/>
        <v>8.1896849358752171</v>
      </c>
      <c r="N63" s="59">
        <f>IF(원자료!O50="","미확인",원자료!O50)</f>
        <v>0.1656</v>
      </c>
      <c r="O63" s="58">
        <v>14</v>
      </c>
      <c r="P63" s="58">
        <v>10.5</v>
      </c>
      <c r="Q63" s="52" t="s">
        <v>27</v>
      </c>
      <c r="R63" s="1"/>
      <c r="S63" s="1"/>
    </row>
    <row r="64" spans="1:19" ht="21.95" customHeight="1">
      <c r="A64" s="18">
        <v>31</v>
      </c>
      <c r="B64" s="19" t="s">
        <v>87</v>
      </c>
      <c r="C64" s="20" t="s">
        <v>88</v>
      </c>
      <c r="D64" s="21">
        <f>원자료!I39</f>
        <v>50300</v>
      </c>
      <c r="E64" s="21">
        <f>D64*원자료!J39/100000000</f>
        <v>9948.1700220000002</v>
      </c>
      <c r="F64" s="22">
        <f>IF(원자료!T39="","미확인",원자료!T39)</f>
        <v>736.5</v>
      </c>
      <c r="G64" s="21">
        <f>IF(원자료!D39="","미확인",원자료!D39)</f>
        <v>1008</v>
      </c>
      <c r="H64" s="35">
        <f t="shared" si="4"/>
        <v>0.3686354378818737</v>
      </c>
      <c r="I64" s="22">
        <f>IF(원자료!U39="","미확인",원자료!U39)</f>
        <v>1000.2</v>
      </c>
      <c r="J64" s="21">
        <f>IF(원자료!E39="","미확인",원자료!E39)</f>
        <v>1316</v>
      </c>
      <c r="K64" s="35">
        <f t="shared" si="5"/>
        <v>0.31573685262947415</v>
      </c>
      <c r="L64" s="42">
        <f t="shared" si="6"/>
        <v>9.8692162916666675</v>
      </c>
      <c r="M64" s="23">
        <f t="shared" si="7"/>
        <v>7.5593997127659573</v>
      </c>
      <c r="N64" s="43">
        <f>IF(원자료!O39="","미확인",원자료!O39)</f>
        <v>0.15140000000000001</v>
      </c>
      <c r="O64" s="23">
        <v>12.6</v>
      </c>
      <c r="P64" s="23">
        <v>9.6</v>
      </c>
      <c r="Q64" s="19" t="s">
        <v>27</v>
      </c>
      <c r="R64" s="1"/>
      <c r="S64" s="1"/>
    </row>
    <row r="65" spans="1:19" ht="21.95" customHeight="1">
      <c r="A65" s="18">
        <v>80</v>
      </c>
      <c r="B65" s="24" t="s">
        <v>186</v>
      </c>
      <c r="C65" s="25" t="s">
        <v>187</v>
      </c>
      <c r="D65" s="26">
        <f>원자료!I87</f>
        <v>141800</v>
      </c>
      <c r="E65" s="26">
        <f>D65*원자료!J87/100000000</f>
        <v>30057.428243999999</v>
      </c>
      <c r="F65" s="27">
        <f>IF(원자료!T87="","미확인",원자료!T87)</f>
        <v>897.5</v>
      </c>
      <c r="G65" s="26">
        <f>IF(원자료!D87="","미확인",원자료!D87)</f>
        <v>1208</v>
      </c>
      <c r="H65" s="36">
        <f t="shared" si="4"/>
        <v>0.34596100278551534</v>
      </c>
      <c r="I65" s="27">
        <f>IF(원자료!U87="","미확인",원자료!U87)</f>
        <v>1033.5</v>
      </c>
      <c r="J65" s="26">
        <f>IF(원자료!E87="","미확인",원자료!E87)</f>
        <v>1430</v>
      </c>
      <c r="K65" s="36">
        <f t="shared" si="5"/>
        <v>0.38364779874213828</v>
      </c>
      <c r="L65" s="44">
        <f t="shared" si="6"/>
        <v>24.881977023178806</v>
      </c>
      <c r="M65" s="28">
        <f t="shared" si="7"/>
        <v>21.019180590209789</v>
      </c>
      <c r="N65" s="45">
        <f>IF(원자료!O87="","미확인",원자료!O87)</f>
        <v>0.17739999999999997</v>
      </c>
      <c r="O65" s="28">
        <v>33.6</v>
      </c>
      <c r="P65" s="28">
        <v>28.4</v>
      </c>
      <c r="Q65" s="24" t="s">
        <v>27</v>
      </c>
      <c r="R65" s="1"/>
      <c r="S65" s="1"/>
    </row>
    <row r="66" spans="1:19" ht="21.95" customHeight="1">
      <c r="A66" s="18">
        <v>61</v>
      </c>
      <c r="B66" s="19" t="s">
        <v>148</v>
      </c>
      <c r="C66" s="20" t="s">
        <v>149</v>
      </c>
      <c r="D66" s="21">
        <f>원자료!I74</f>
        <v>23900</v>
      </c>
      <c r="E66" s="21">
        <f>D66*원자료!J74/100000000</f>
        <v>12275.822725</v>
      </c>
      <c r="F66" s="22">
        <f>IF(원자료!T74="","미확인",원자료!T74)</f>
        <v>540</v>
      </c>
      <c r="G66" s="21">
        <f>IF(원자료!D74="","미확인",원자료!D74)</f>
        <v>720</v>
      </c>
      <c r="H66" s="35">
        <f t="shared" si="4"/>
        <v>0.33333333333333326</v>
      </c>
      <c r="I66" s="22">
        <f>IF(원자료!U74="","미확인",원자료!U74)</f>
        <v>1200</v>
      </c>
      <c r="J66" s="21">
        <f>IF(원자료!E74="","미확인",원자료!E74)</f>
        <v>1630</v>
      </c>
      <c r="K66" s="35">
        <f t="shared" si="5"/>
        <v>0.35833333333333339</v>
      </c>
      <c r="L66" s="42">
        <f t="shared" si="6"/>
        <v>17.04975378472222</v>
      </c>
      <c r="M66" s="23">
        <f t="shared" si="7"/>
        <v>7.5311795858895705</v>
      </c>
      <c r="N66" s="43">
        <f>IF(원자료!O74="","미확인",원자료!O74)</f>
        <v>0.19889999999999999</v>
      </c>
      <c r="O66" s="23">
        <v>22.8</v>
      </c>
      <c r="P66" s="23">
        <v>10.1</v>
      </c>
      <c r="Q66" s="19" t="s">
        <v>32</v>
      </c>
      <c r="R66" s="1"/>
      <c r="S66" s="1"/>
    </row>
    <row r="67" spans="1:19" ht="21.95" customHeight="1">
      <c r="A67" s="18">
        <v>13</v>
      </c>
      <c r="B67" s="19" t="s">
        <v>51</v>
      </c>
      <c r="C67" s="20" t="s">
        <v>52</v>
      </c>
      <c r="D67" s="21">
        <f>원자료!I20</f>
        <v>41050</v>
      </c>
      <c r="E67" s="21">
        <f>D67*원자료!J20/100000000</f>
        <v>5865.1566780000003</v>
      </c>
      <c r="F67" s="22">
        <f>IF(원자료!T20="","미확인",원자료!T20)</f>
        <v>660.5</v>
      </c>
      <c r="G67" s="21">
        <f>IF(원자료!D20="","미확인",원자료!D20)</f>
        <v>873</v>
      </c>
      <c r="H67" s="35">
        <f t="shared" si="4"/>
        <v>0.32172596517789542</v>
      </c>
      <c r="I67" s="22">
        <f>IF(원자료!U20="","미확인",원자료!U20)</f>
        <v>965.75</v>
      </c>
      <c r="J67" s="21">
        <f>IF(원자료!E20="","미확인",원자료!E20)</f>
        <v>1223</v>
      </c>
      <c r="K67" s="35">
        <f t="shared" si="5"/>
        <v>0.26637328501164892</v>
      </c>
      <c r="L67" s="42">
        <f t="shared" si="6"/>
        <v>6.7183925292096225</v>
      </c>
      <c r="M67" s="23">
        <f t="shared" si="7"/>
        <v>4.7957127375306623</v>
      </c>
      <c r="N67" s="43">
        <f>IF(원자료!O20="","미확인",원자료!O20)</f>
        <v>0.15839999999999999</v>
      </c>
      <c r="O67" s="23">
        <v>8</v>
      </c>
      <c r="P67" s="23">
        <v>5.7</v>
      </c>
      <c r="Q67" s="19" t="s">
        <v>27</v>
      </c>
      <c r="R67" s="1"/>
      <c r="S67" s="1"/>
    </row>
    <row r="68" spans="1:19" ht="21.95" customHeight="1">
      <c r="A68" s="18">
        <v>82</v>
      </c>
      <c r="B68" s="24" t="s">
        <v>190</v>
      </c>
      <c r="C68" s="25" t="s">
        <v>191</v>
      </c>
      <c r="D68" s="26">
        <f>원자료!I88</f>
        <v>250500</v>
      </c>
      <c r="E68" s="26">
        <f>D68*원자료!J88/100000000</f>
        <v>17541.184845</v>
      </c>
      <c r="F68" s="27">
        <f>IF(원자료!T88="","미확인",원자료!T88)</f>
        <v>468.62</v>
      </c>
      <c r="G68" s="26">
        <f>IF(원자료!D88="","미확인",원자료!D88)</f>
        <v>618</v>
      </c>
      <c r="H68" s="36">
        <f t="shared" si="4"/>
        <v>0.3187657376979216</v>
      </c>
      <c r="I68" s="27">
        <f>IF(원자료!U88="","미확인",원자료!U88)</f>
        <v>502.38</v>
      </c>
      <c r="J68" s="26">
        <f>IF(원자료!E88="","미확인",원자료!E88)</f>
        <v>695</v>
      </c>
      <c r="K68" s="36">
        <f t="shared" si="5"/>
        <v>0.38341494486245464</v>
      </c>
      <c r="L68" s="44">
        <f t="shared" si="6"/>
        <v>28.383794247572816</v>
      </c>
      <c r="M68" s="28">
        <f t="shared" si="7"/>
        <v>25.239114884892086</v>
      </c>
      <c r="N68" s="45">
        <f>IF(원자료!O88="","미확인",원자료!O88)</f>
        <v>0.1716</v>
      </c>
      <c r="O68" s="28">
        <v>34</v>
      </c>
      <c r="P68" s="28">
        <v>30.2</v>
      </c>
      <c r="Q68" s="24" t="s">
        <v>27</v>
      </c>
      <c r="R68" s="1"/>
      <c r="S68" s="1"/>
    </row>
    <row r="69" spans="1:19" ht="21.95" customHeight="1">
      <c r="A69" s="18">
        <v>58</v>
      </c>
      <c r="B69" s="24" t="s">
        <v>142</v>
      </c>
      <c r="C69" s="25" t="s">
        <v>143</v>
      </c>
      <c r="D69" s="26">
        <f>원자료!I66</f>
        <v>12500</v>
      </c>
      <c r="E69" s="26">
        <f>D69*원자료!J66/100000000</f>
        <v>5483.6454999999996</v>
      </c>
      <c r="F69" s="27">
        <f>IF(원자료!T66="","미확인",원자료!T66)</f>
        <v>257.5</v>
      </c>
      <c r="G69" s="26">
        <f>IF(원자료!D66="","미확인",원자료!D66)</f>
        <v>338</v>
      </c>
      <c r="H69" s="36">
        <f t="shared" si="4"/>
        <v>0.31262135922330092</v>
      </c>
      <c r="I69" s="27">
        <f>IF(원자료!U66="","미확인",원자료!U66)</f>
        <v>279.39999999999998</v>
      </c>
      <c r="J69" s="26">
        <f>IF(원자료!E66="","미확인",원자료!E66)</f>
        <v>389</v>
      </c>
      <c r="K69" s="36">
        <f t="shared" si="5"/>
        <v>0.39226914817466008</v>
      </c>
      <c r="L69" s="44">
        <f t="shared" si="6"/>
        <v>16.223803254437868</v>
      </c>
      <c r="M69" s="28">
        <f t="shared" si="7"/>
        <v>14.096775064267351</v>
      </c>
      <c r="N69" s="45">
        <f>IF(원자료!O66="","미확인",원자료!O66)</f>
        <v>0.2253</v>
      </c>
      <c r="O69" s="28">
        <v>20.399999999999999</v>
      </c>
      <c r="P69" s="28">
        <v>17.7</v>
      </c>
      <c r="Q69" s="24" t="s">
        <v>32</v>
      </c>
      <c r="R69" s="1"/>
      <c r="S69" s="1"/>
    </row>
    <row r="70" spans="1:19" ht="21.95" customHeight="1">
      <c r="A70" s="18">
        <v>67</v>
      </c>
      <c r="B70" s="19" t="s">
        <v>160</v>
      </c>
      <c r="C70" s="20" t="s">
        <v>161</v>
      </c>
      <c r="D70" s="21">
        <f>원자료!I73</f>
        <v>14320</v>
      </c>
      <c r="E70" s="21">
        <f>D70*원자료!J73/100000000</f>
        <v>8623.2017047999998</v>
      </c>
      <c r="F70" s="22">
        <f>IF(원자료!T73="","미확인",원자료!T73)</f>
        <v>358.33</v>
      </c>
      <c r="G70" s="21">
        <f>IF(원자료!D73="","미확인",원자료!D73)</f>
        <v>470</v>
      </c>
      <c r="H70" s="35">
        <f t="shared" si="4"/>
        <v>0.31164010828007704</v>
      </c>
      <c r="I70" s="22">
        <f>IF(원자료!U73="","미확인",원자료!U73)</f>
        <v>348.67</v>
      </c>
      <c r="J70" s="21">
        <f>IF(원자료!E73="","미확인",원자료!E73)</f>
        <v>469</v>
      </c>
      <c r="K70" s="35">
        <f t="shared" si="5"/>
        <v>0.34511142340895407</v>
      </c>
      <c r="L70" s="42">
        <f t="shared" si="6"/>
        <v>18.347237669787233</v>
      </c>
      <c r="M70" s="23">
        <f t="shared" si="7"/>
        <v>18.386357579530916</v>
      </c>
      <c r="N70" s="43">
        <f>IF(원자료!O73="","미확인",원자료!O73)</f>
        <v>0.20730000000000001</v>
      </c>
      <c r="O70" s="23">
        <v>22.7</v>
      </c>
      <c r="P70" s="23">
        <v>22.8</v>
      </c>
      <c r="Q70" s="19" t="s">
        <v>27</v>
      </c>
      <c r="R70" s="1"/>
      <c r="S70" s="1"/>
    </row>
    <row r="71" spans="1:19" ht="21.95" customHeight="1">
      <c r="A71" s="18">
        <v>79</v>
      </c>
      <c r="B71" s="19" t="s">
        <v>184</v>
      </c>
      <c r="C71" s="20" t="s">
        <v>185</v>
      </c>
      <c r="D71" s="21">
        <f>원자료!I86</f>
        <v>13600</v>
      </c>
      <c r="E71" s="21">
        <f>D71*원자료!J86/100000000</f>
        <v>11158.167600000001</v>
      </c>
      <c r="F71" s="22">
        <f>IF(원자료!T86="","미확인",원자료!T86)</f>
        <v>342.8</v>
      </c>
      <c r="G71" s="21">
        <f>IF(원자료!D86="","미확인",원자료!D86)</f>
        <v>449</v>
      </c>
      <c r="H71" s="35">
        <f t="shared" si="4"/>
        <v>0.30980163360560087</v>
      </c>
      <c r="I71" s="22">
        <f>IF(원자료!U86="","미확인",원자료!U86)</f>
        <v>546.33000000000004</v>
      </c>
      <c r="J71" s="21">
        <f>IF(원자료!E86="","미확인",원자료!E86)</f>
        <v>724</v>
      </c>
      <c r="K71" s="35">
        <f t="shared" si="5"/>
        <v>0.32520637709809086</v>
      </c>
      <c r="L71" s="42">
        <f t="shared" si="6"/>
        <v>24.851152783964366</v>
      </c>
      <c r="M71" s="23">
        <f t="shared" si="7"/>
        <v>15.411833701657459</v>
      </c>
      <c r="N71" s="43">
        <f>IF(원자료!O86="","미확인",원자료!O86)</f>
        <v>0.10619999999999999</v>
      </c>
      <c r="O71" s="23">
        <v>31</v>
      </c>
      <c r="P71" s="23">
        <v>19.2</v>
      </c>
      <c r="Q71" s="19" t="s">
        <v>32</v>
      </c>
      <c r="R71" s="1"/>
      <c r="S71" s="1"/>
    </row>
    <row r="72" spans="1:19" ht="21.95" customHeight="1">
      <c r="A72" s="18">
        <v>9</v>
      </c>
      <c r="B72" s="19" t="s">
        <v>43</v>
      </c>
      <c r="C72" s="20" t="s">
        <v>44</v>
      </c>
      <c r="D72" s="21">
        <f>원자료!I16</f>
        <v>36150</v>
      </c>
      <c r="E72" s="21">
        <f>D72*원자료!J16/100000000</f>
        <v>4557.7920000000004</v>
      </c>
      <c r="F72" s="22">
        <f>IF(원자료!T16="","미확인",원자료!T16)</f>
        <v>589.66999999999996</v>
      </c>
      <c r="G72" s="21">
        <f>IF(원자료!D16="","미확인",원자료!D16)</f>
        <v>772</v>
      </c>
      <c r="H72" s="35">
        <f t="shared" si="4"/>
        <v>0.30920684450624925</v>
      </c>
      <c r="I72" s="22">
        <f>IF(원자료!U16="","미확인",원자료!U16)</f>
        <v>679</v>
      </c>
      <c r="J72" s="21">
        <f>IF(원자료!E16="","미확인",원자료!E16)</f>
        <v>931</v>
      </c>
      <c r="K72" s="35">
        <f t="shared" si="5"/>
        <v>0.37113402061855671</v>
      </c>
      <c r="L72" s="42">
        <f t="shared" si="6"/>
        <v>5.9038756476683947</v>
      </c>
      <c r="M72" s="23">
        <f t="shared" si="7"/>
        <v>4.8955875402792701</v>
      </c>
      <c r="N72" s="43">
        <f>IF(원자료!O16="","미확인",원자료!O16)</f>
        <v>0.12609999999999999</v>
      </c>
      <c r="O72" s="23">
        <v>6.6</v>
      </c>
      <c r="P72" s="23">
        <v>5.5</v>
      </c>
      <c r="Q72" s="19" t="s">
        <v>27</v>
      </c>
      <c r="R72" s="1"/>
      <c r="S72" s="1"/>
    </row>
    <row r="73" spans="1:19" ht="21.95" customHeight="1">
      <c r="A73" s="18">
        <v>64</v>
      </c>
      <c r="B73" s="24" t="s">
        <v>154</v>
      </c>
      <c r="C73" s="25" t="s">
        <v>155</v>
      </c>
      <c r="D73" s="26">
        <f>원자료!I76</f>
        <v>219000</v>
      </c>
      <c r="E73" s="26">
        <f>D73*원자료!J76/100000000</f>
        <v>24482.921040000001</v>
      </c>
      <c r="F73" s="27">
        <f>IF(원자료!T76="","미확인",원자료!T76)</f>
        <v>1072.17</v>
      </c>
      <c r="G73" s="26">
        <f>IF(원자료!D76="","미확인",원자료!D76)</f>
        <v>1396</v>
      </c>
      <c r="H73" s="36">
        <f t="shared" si="4"/>
        <v>0.30203232696307469</v>
      </c>
      <c r="I73" s="27">
        <f>IF(원자료!U76="","미확인",원자료!U76)</f>
        <v>1241.83</v>
      </c>
      <c r="J73" s="26">
        <f>IF(원자료!E76="","미확인",원자료!E76)</f>
        <v>1682</v>
      </c>
      <c r="K73" s="36">
        <f t="shared" si="5"/>
        <v>0.35445270286593189</v>
      </c>
      <c r="L73" s="44">
        <f t="shared" si="6"/>
        <v>17.537909054441261</v>
      </c>
      <c r="M73" s="28">
        <f t="shared" si="7"/>
        <v>14.55583890606421</v>
      </c>
      <c r="N73" s="45">
        <f>IF(원자료!O76="","미확인",원자료!O76)</f>
        <v>0.21010000000000001</v>
      </c>
      <c r="O73" s="28">
        <v>23.3</v>
      </c>
      <c r="P73" s="28">
        <v>19.3</v>
      </c>
      <c r="Q73" s="24" t="s">
        <v>27</v>
      </c>
      <c r="R73" s="1"/>
      <c r="S73" s="1"/>
    </row>
    <row r="74" spans="1:19" ht="21.95" customHeight="1">
      <c r="A74" s="18">
        <v>54</v>
      </c>
      <c r="B74" s="24" t="s">
        <v>134</v>
      </c>
      <c r="C74" s="25" t="s">
        <v>135</v>
      </c>
      <c r="D74" s="26">
        <f>원자료!I61</f>
        <v>261000</v>
      </c>
      <c r="E74" s="26">
        <f>D74*원자료!J61/100000000</f>
        <v>28870.329689999999</v>
      </c>
      <c r="F74" s="27">
        <f>IF(원자료!T61="","미확인",원자료!T61)</f>
        <v>1437.33</v>
      </c>
      <c r="G74" s="26">
        <f>IF(원자료!D61="","미확인",원자료!D61)</f>
        <v>1870</v>
      </c>
      <c r="H74" s="36">
        <f t="shared" ref="H74:H105" si="8">IF(AND(ISNUMBER(F74),ISNUMBER(G74)),IF(F74=0,IF(G74&gt;0,"흑자전환",IF(G74=0,"손익분기","미확인")),IF(F74&lt;0,IF(G74&gt;0,"흑자전환",IF(G74=0,"손익분기","적자지속")),IF(G74&lt;0,"적자전환",IF(G74=0,-1,G74/F74-1)))),"미확인")</f>
        <v>0.3010234253790014</v>
      </c>
      <c r="I74" s="27">
        <f>IF(원자료!U61="","미확인",원자료!U61)</f>
        <v>1918.33</v>
      </c>
      <c r="J74" s="26">
        <f>IF(원자료!E61="","미확인",원자료!E61)</f>
        <v>2470</v>
      </c>
      <c r="K74" s="36">
        <f t="shared" ref="K74:K105" si="9">IF(AND(ISNUMBER(I74),ISNUMBER(J74)),IF(I74=0,IF(J74&gt;0,"흑자전환",IF(J74=0,"손익분기","미확인")),IF(I74&lt;0,IF(J74&gt;0,"흑자전환",IF(J74=0,"손익분기","적자지속")),IF(J74&lt;0,"적자전환",IF(J74=0,-1,J74/I74-1)))),"미확인")</f>
        <v>0.28757825817247307</v>
      </c>
      <c r="L74" s="44">
        <f t="shared" ref="L74:L99" si="10">IF(ISNUMBER(G74),IF(G74&gt;0,E74/G74,"적자"),"미산출")</f>
        <v>15.438678978609625</v>
      </c>
      <c r="M74" s="28">
        <f t="shared" ref="M74:M99" si="11">IF(ISNUMBER(J74),IF(J74&gt;0,E74/J74,"적자"),"미산출")</f>
        <v>11.688392587044534</v>
      </c>
      <c r="N74" s="45">
        <f>IF(원자료!O61="","미확인",원자료!O61)</f>
        <v>0.30320000000000003</v>
      </c>
      <c r="O74" s="28">
        <v>18.2</v>
      </c>
      <c r="P74" s="28">
        <v>13.8</v>
      </c>
      <c r="Q74" s="24" t="s">
        <v>32</v>
      </c>
      <c r="R74" s="1"/>
      <c r="S74" s="1"/>
    </row>
    <row r="75" spans="1:19" ht="21.95" customHeight="1">
      <c r="A75" s="18">
        <v>42</v>
      </c>
      <c r="B75" s="24" t="s">
        <v>109</v>
      </c>
      <c r="C75" s="25" t="s">
        <v>110</v>
      </c>
      <c r="D75" s="26">
        <f>원자료!I51</f>
        <v>328000</v>
      </c>
      <c r="E75" s="26">
        <f>D75*원자료!J51/100000000</f>
        <v>25513.696479999999</v>
      </c>
      <c r="F75" s="27">
        <f>IF(원자료!T51="","미확인",원자료!T51)</f>
        <v>1707.89</v>
      </c>
      <c r="G75" s="26">
        <f>IF(원자료!D51="","미확인",원자료!D51)</f>
        <v>2195</v>
      </c>
      <c r="H75" s="36">
        <f t="shared" si="8"/>
        <v>0.28521157685799436</v>
      </c>
      <c r="I75" s="27">
        <f>IF(원자료!U51="","미확인",원자료!U51)</f>
        <v>2007.89</v>
      </c>
      <c r="J75" s="26">
        <f>IF(원자료!E51="","미확인",원자료!E51)</f>
        <v>2749</v>
      </c>
      <c r="K75" s="36">
        <f t="shared" si="9"/>
        <v>0.36909890482048313</v>
      </c>
      <c r="L75" s="44">
        <f t="shared" si="10"/>
        <v>11.62355192710706</v>
      </c>
      <c r="M75" s="28">
        <f t="shared" si="11"/>
        <v>9.2810827500909419</v>
      </c>
      <c r="N75" s="45">
        <f>IF(원자료!O51="","미확인",원자료!O51)</f>
        <v>0.16449999999999998</v>
      </c>
      <c r="O75" s="28">
        <v>14.1</v>
      </c>
      <c r="P75" s="28">
        <v>11.2</v>
      </c>
      <c r="Q75" s="24" t="s">
        <v>27</v>
      </c>
      <c r="R75" s="1"/>
      <c r="S75" s="1"/>
    </row>
    <row r="76" spans="1:19" ht="21.95" customHeight="1">
      <c r="A76" s="18">
        <v>2</v>
      </c>
      <c r="B76" s="24" t="s">
        <v>28</v>
      </c>
      <c r="C76" s="25" t="s">
        <v>29</v>
      </c>
      <c r="D76" s="26">
        <f>원자료!I11</f>
        <v>1238000</v>
      </c>
      <c r="E76" s="26">
        <f>D76*원자료!J11/100000000</f>
        <v>9043495.4787000008</v>
      </c>
      <c r="F76" s="27">
        <f>IF(원자료!T11="","미확인",원자료!T11)</f>
        <v>2557448.67</v>
      </c>
      <c r="G76" s="26">
        <f>IF(원자료!D11="","미확인",원자료!D11)</f>
        <v>3260000</v>
      </c>
      <c r="H76" s="36">
        <f t="shared" si="8"/>
        <v>0.27470789081369906</v>
      </c>
      <c r="I76" s="27">
        <f>IF(원자료!U11="","미확인",원자료!U11)</f>
        <v>2625689.81</v>
      </c>
      <c r="J76" s="26">
        <f>IF(원자료!E11="","미확인",원자료!E11)</f>
        <v>4020000</v>
      </c>
      <c r="K76" s="36">
        <f t="shared" si="9"/>
        <v>0.53102624106234386</v>
      </c>
      <c r="L76" s="44">
        <f t="shared" si="10"/>
        <v>2.7740783676993868</v>
      </c>
      <c r="M76" s="28">
        <f t="shared" si="11"/>
        <v>2.2496257409701497</v>
      </c>
      <c r="N76" s="45">
        <f>IF(원자료!O11="","미확인",원자료!O11)</f>
        <v>0.62109999999999999</v>
      </c>
      <c r="O76" s="28">
        <v>3.6</v>
      </c>
      <c r="P76" s="28">
        <v>2.9</v>
      </c>
      <c r="Q76" s="24" t="s">
        <v>27</v>
      </c>
      <c r="R76" s="1"/>
      <c r="S76" s="1"/>
    </row>
    <row r="77" spans="1:19" ht="21.95" customHeight="1">
      <c r="A77" s="18">
        <v>63</v>
      </c>
      <c r="B77" s="19" t="s">
        <v>152</v>
      </c>
      <c r="C77" s="20" t="s">
        <v>153</v>
      </c>
      <c r="D77" s="21">
        <f>원자료!I75</f>
        <v>120000</v>
      </c>
      <c r="E77" s="21">
        <f>D77*원자료!J75/100000000</f>
        <v>23232</v>
      </c>
      <c r="F77" s="22">
        <f>IF(원자료!T75="","미확인",원자료!T75)</f>
        <v>1059.5</v>
      </c>
      <c r="G77" s="21">
        <f>IF(원자료!D75="","미확인",원자료!D75)</f>
        <v>1347</v>
      </c>
      <c r="H77" s="35">
        <f t="shared" si="8"/>
        <v>0.27135441245870684</v>
      </c>
      <c r="I77" s="22">
        <f>IF(원자료!U75="","미확인",원자료!U75)</f>
        <v>1037.57</v>
      </c>
      <c r="J77" s="21">
        <f>IF(원자료!E75="","미확인",원자료!E75)</f>
        <v>1410</v>
      </c>
      <c r="K77" s="35">
        <f t="shared" si="9"/>
        <v>0.35894445675954412</v>
      </c>
      <c r="L77" s="42">
        <f t="shared" si="10"/>
        <v>17.247216035634743</v>
      </c>
      <c r="M77" s="23">
        <f t="shared" si="11"/>
        <v>16.47659574468085</v>
      </c>
      <c r="N77" s="43">
        <f>IF(원자료!O75="","미확인",원자료!O75)</f>
        <v>0.24160000000000001</v>
      </c>
      <c r="O77" s="23">
        <v>23.3</v>
      </c>
      <c r="P77" s="23">
        <v>22.2</v>
      </c>
      <c r="Q77" s="19" t="s">
        <v>27</v>
      </c>
      <c r="R77" s="1"/>
      <c r="S77" s="1"/>
    </row>
    <row r="78" spans="1:19" ht="21.95" customHeight="1">
      <c r="A78" s="18">
        <v>11</v>
      </c>
      <c r="B78" s="19" t="s">
        <v>47</v>
      </c>
      <c r="C78" s="20" t="s">
        <v>48</v>
      </c>
      <c r="D78" s="21">
        <f>원자료!I22</f>
        <v>20000</v>
      </c>
      <c r="E78" s="21">
        <f>D78*원자료!J22/100000000</f>
        <v>2184.8485999999998</v>
      </c>
      <c r="F78" s="22">
        <f>IF(원자료!T22="","미확인",원자료!T22)</f>
        <v>284</v>
      </c>
      <c r="G78" s="21">
        <f>IF(원자료!D22="","미확인",원자료!D22)</f>
        <v>360</v>
      </c>
      <c r="H78" s="35">
        <f t="shared" si="8"/>
        <v>0.26760563380281699</v>
      </c>
      <c r="I78" s="22">
        <f>IF(원자료!U22="","미확인",원자료!U22)</f>
        <v>359</v>
      </c>
      <c r="J78" s="21">
        <f>IF(원자료!E22="","미확인",원자료!E22)</f>
        <v>457</v>
      </c>
      <c r="K78" s="35">
        <f t="shared" si="9"/>
        <v>0.27298050139275776</v>
      </c>
      <c r="L78" s="42">
        <f t="shared" si="10"/>
        <v>6.0690238888888883</v>
      </c>
      <c r="M78" s="23">
        <f t="shared" si="11"/>
        <v>4.7808503282275705</v>
      </c>
      <c r="N78" s="43">
        <f>IF(원자료!O22="","미확인",원자료!O22)</f>
        <v>0.1552</v>
      </c>
      <c r="O78" s="23">
        <v>8.1</v>
      </c>
      <c r="P78" s="23">
        <v>6.4</v>
      </c>
      <c r="Q78" s="19" t="s">
        <v>27</v>
      </c>
      <c r="R78" s="1"/>
      <c r="S78" s="1"/>
    </row>
    <row r="79" spans="1:19" ht="21.95" customHeight="1">
      <c r="A79" s="18">
        <v>27</v>
      </c>
      <c r="B79" s="19" t="s">
        <v>79</v>
      </c>
      <c r="C79" s="20" t="s">
        <v>80</v>
      </c>
      <c r="D79" s="21">
        <f>원자료!I33</f>
        <v>12490</v>
      </c>
      <c r="E79" s="21">
        <f>D79*원자료!J33/100000000</f>
        <v>2733.846172</v>
      </c>
      <c r="F79" s="22">
        <f>IF(원자료!T33="","미확인",원자료!T33)</f>
        <v>238.5</v>
      </c>
      <c r="G79" s="21">
        <f>IF(원자료!D33="","미확인",원자료!D33)</f>
        <v>300</v>
      </c>
      <c r="H79" s="35">
        <f t="shared" si="8"/>
        <v>0.25786163522012573</v>
      </c>
      <c r="I79" s="22">
        <f>IF(원자료!U33="","미확인",원자료!U33)</f>
        <v>242.5</v>
      </c>
      <c r="J79" s="21">
        <f>IF(원자료!E33="","미확인",원자료!E33)</f>
        <v>326</v>
      </c>
      <c r="K79" s="35">
        <f t="shared" si="9"/>
        <v>0.3443298969072166</v>
      </c>
      <c r="L79" s="42">
        <f t="shared" si="10"/>
        <v>9.1128205733333338</v>
      </c>
      <c r="M79" s="23">
        <f t="shared" si="11"/>
        <v>8.3860312024539869</v>
      </c>
      <c r="N79" s="43">
        <f>IF(원자료!O33="","미확인",원자료!O33)</f>
        <v>0.1865</v>
      </c>
      <c r="O79" s="23">
        <v>10.7</v>
      </c>
      <c r="P79" s="23">
        <v>9.9</v>
      </c>
      <c r="Q79" s="19" t="s">
        <v>27</v>
      </c>
      <c r="R79" s="1"/>
      <c r="S79" s="1"/>
    </row>
    <row r="80" spans="1:19" ht="21.95" customHeight="1">
      <c r="A80" s="18">
        <v>20</v>
      </c>
      <c r="B80" s="24" t="s">
        <v>65</v>
      </c>
      <c r="C80" s="25" t="s">
        <v>66</v>
      </c>
      <c r="D80" s="26">
        <f>원자료!I30</f>
        <v>26250</v>
      </c>
      <c r="E80" s="26">
        <f>D80*원자료!J30/100000000</f>
        <v>6900.6</v>
      </c>
      <c r="F80" s="27">
        <f>IF(원자료!T30="","미확인",원자료!T30)</f>
        <v>716.67</v>
      </c>
      <c r="G80" s="26">
        <f>IF(원자료!D30="","미확인",원자료!D30)</f>
        <v>887</v>
      </c>
      <c r="H80" s="36">
        <f t="shared" si="8"/>
        <v>0.23766866200622339</v>
      </c>
      <c r="I80" s="27">
        <f>IF(원자료!U30="","미확인",원자료!U30)</f>
        <v>1166.33</v>
      </c>
      <c r="J80" s="26">
        <f>IF(원자료!E30="","미확인",원자료!E30)</f>
        <v>1504</v>
      </c>
      <c r="K80" s="36">
        <f t="shared" si="9"/>
        <v>0.28951497432116136</v>
      </c>
      <c r="L80" s="44">
        <f t="shared" si="10"/>
        <v>7.7797068771138678</v>
      </c>
      <c r="M80" s="28">
        <f t="shared" si="11"/>
        <v>4.5881648936170212</v>
      </c>
      <c r="N80" s="45">
        <f>IF(원자료!O30="","미확인",원자료!O30)</f>
        <v>0.1467</v>
      </c>
      <c r="O80" s="28">
        <v>9.6</v>
      </c>
      <c r="P80" s="28">
        <v>5.7</v>
      </c>
      <c r="Q80" s="24" t="s">
        <v>32</v>
      </c>
      <c r="R80" s="1"/>
      <c r="S80" s="1"/>
    </row>
    <row r="81" spans="1:19" ht="21.95" customHeight="1">
      <c r="A81" s="18">
        <v>34</v>
      </c>
      <c r="B81" s="24" t="s">
        <v>93</v>
      </c>
      <c r="C81" s="25" t="s">
        <v>94</v>
      </c>
      <c r="D81" s="26">
        <f>원자료!I44</f>
        <v>43600</v>
      </c>
      <c r="E81" s="26">
        <f>D81*원자료!J44/100000000</f>
        <v>8035.48</v>
      </c>
      <c r="F81" s="27">
        <f>IF(원자료!T44="","미확인",원자료!T44)</f>
        <v>627.33000000000004</v>
      </c>
      <c r="G81" s="26">
        <f>IF(원자료!D44="","미확인",원자료!D44)</f>
        <v>775</v>
      </c>
      <c r="H81" s="36">
        <f t="shared" si="8"/>
        <v>0.2353944494922926</v>
      </c>
      <c r="I81" s="27">
        <f>IF(원자료!U44="","미확인",원자료!U44)</f>
        <v>759</v>
      </c>
      <c r="J81" s="26">
        <f>IF(원자료!E44="","미확인",원자료!E44)</f>
        <v>946</v>
      </c>
      <c r="K81" s="36">
        <f t="shared" si="9"/>
        <v>0.24637681159420288</v>
      </c>
      <c r="L81" s="44">
        <f t="shared" si="10"/>
        <v>10.36836129032258</v>
      </c>
      <c r="M81" s="28">
        <f t="shared" si="11"/>
        <v>8.4941649048625791</v>
      </c>
      <c r="N81" s="45">
        <f>IF(원자료!O44="","미확인",원자료!O44)</f>
        <v>0.20190000000000002</v>
      </c>
      <c r="O81" s="28">
        <v>13.1</v>
      </c>
      <c r="P81" s="28">
        <v>10.8</v>
      </c>
      <c r="Q81" s="24" t="s">
        <v>27</v>
      </c>
      <c r="R81" s="1"/>
      <c r="S81" s="1"/>
    </row>
    <row r="82" spans="1:19" ht="21.95" customHeight="1">
      <c r="A82" s="18">
        <v>24</v>
      </c>
      <c r="B82" s="24" t="s">
        <v>73</v>
      </c>
      <c r="C82" s="25" t="s">
        <v>74</v>
      </c>
      <c r="D82" s="26">
        <f>원자료!I35</f>
        <v>100000</v>
      </c>
      <c r="E82" s="26">
        <f>D82*원자료!J35/100000000</f>
        <v>43504.588000000003</v>
      </c>
      <c r="F82" s="27">
        <f>IF(원자료!T35="","미확인",원자료!T35)</f>
        <v>4010</v>
      </c>
      <c r="G82" s="26">
        <f>IF(원자료!D35="","미확인",원자료!D35)</f>
        <v>4930</v>
      </c>
      <c r="H82" s="36">
        <f t="shared" si="8"/>
        <v>0.22942643391521189</v>
      </c>
      <c r="I82" s="27">
        <f>IF(원자료!U35="","미확인",원자료!U35)</f>
        <v>4165</v>
      </c>
      <c r="J82" s="26">
        <f>IF(원자료!E35="","미확인",원자료!E35)</f>
        <v>5525</v>
      </c>
      <c r="K82" s="36">
        <f t="shared" si="9"/>
        <v>0.32653061224489788</v>
      </c>
      <c r="L82" s="44">
        <f t="shared" si="10"/>
        <v>8.8244600405679527</v>
      </c>
      <c r="M82" s="28">
        <f t="shared" si="11"/>
        <v>7.8741335746606342</v>
      </c>
      <c r="N82" s="45">
        <f>IF(원자료!O35="","미확인",원자료!O35)</f>
        <v>0.1789</v>
      </c>
      <c r="O82" s="28">
        <v>11.6</v>
      </c>
      <c r="P82" s="28">
        <v>10.4</v>
      </c>
      <c r="Q82" s="24" t="s">
        <v>27</v>
      </c>
      <c r="R82" s="1"/>
      <c r="S82" s="1"/>
    </row>
    <row r="83" spans="1:19" ht="21.95" customHeight="1">
      <c r="A83" s="18">
        <v>45</v>
      </c>
      <c r="B83" s="19" t="s">
        <v>116</v>
      </c>
      <c r="C83" s="20" t="s">
        <v>117</v>
      </c>
      <c r="D83" s="21">
        <f>원자료!I48</f>
        <v>231500</v>
      </c>
      <c r="E83" s="21">
        <f>D83*원자료!J48/100000000</f>
        <v>24988.193340000002</v>
      </c>
      <c r="F83" s="22">
        <f>IF(원자료!T48="","미확인",원자료!T48)</f>
        <v>1681</v>
      </c>
      <c r="G83" s="21">
        <f>IF(원자료!D48="","미확인",원자료!D48)</f>
        <v>2038</v>
      </c>
      <c r="H83" s="35">
        <f t="shared" si="8"/>
        <v>0.21237358715050569</v>
      </c>
      <c r="I83" s="22">
        <f>IF(원자료!U48="","미확인",원자료!U48)</f>
        <v>1789.33</v>
      </c>
      <c r="J83" s="21">
        <f>IF(원자료!E48="","미확인",원자료!E48)</f>
        <v>2276</v>
      </c>
      <c r="K83" s="35">
        <f t="shared" si="9"/>
        <v>0.27198448581312573</v>
      </c>
      <c r="L83" s="42">
        <f t="shared" si="10"/>
        <v>12.261135103042198</v>
      </c>
      <c r="M83" s="23">
        <f t="shared" si="11"/>
        <v>10.978995316344465</v>
      </c>
      <c r="N83" s="43">
        <f>IF(원자료!O48="","미확인",원자료!O48)</f>
        <v>0.15759999999999999</v>
      </c>
      <c r="O83" s="23">
        <v>14</v>
      </c>
      <c r="P83" s="23">
        <v>12.5</v>
      </c>
      <c r="Q83" s="19" t="s">
        <v>27</v>
      </c>
      <c r="R83" s="1"/>
      <c r="S83" s="1"/>
    </row>
    <row r="84" spans="1:19" ht="21.95" customHeight="1">
      <c r="A84" s="18">
        <v>59</v>
      </c>
      <c r="B84" s="19" t="s">
        <v>144</v>
      </c>
      <c r="C84" s="20" t="s">
        <v>145</v>
      </c>
      <c r="D84" s="21">
        <f>원자료!I68</f>
        <v>114800</v>
      </c>
      <c r="E84" s="21">
        <f>D84*원자료!J68/100000000</f>
        <v>33253.787671999999</v>
      </c>
      <c r="F84" s="22">
        <f>IF(원자료!T68="","미확인",원자료!T68)</f>
        <v>1650.5</v>
      </c>
      <c r="G84" s="21">
        <f>IF(원자료!D68="","미확인",원자료!D68)</f>
        <v>1981</v>
      </c>
      <c r="H84" s="35">
        <f t="shared" si="8"/>
        <v>0.20024235080278707</v>
      </c>
      <c r="I84" s="22">
        <f>IF(원자료!U68="","미확인",원자료!U68)</f>
        <v>1915</v>
      </c>
      <c r="J84" s="21">
        <f>IF(원자료!E68="","미확인",원자료!E68)</f>
        <v>2325</v>
      </c>
      <c r="K84" s="35">
        <f t="shared" si="9"/>
        <v>0.21409921671018273</v>
      </c>
      <c r="L84" s="42">
        <f t="shared" si="10"/>
        <v>16.786364296819787</v>
      </c>
      <c r="M84" s="23">
        <f t="shared" si="11"/>
        <v>14.302704375053763</v>
      </c>
      <c r="N84" s="43">
        <f>IF(원자료!O68="","미확인",원자료!O68)</f>
        <v>0.25579999999999997</v>
      </c>
      <c r="O84" s="23">
        <v>20.5</v>
      </c>
      <c r="P84" s="23">
        <v>17.399999999999999</v>
      </c>
      <c r="Q84" s="19" t="s">
        <v>27</v>
      </c>
      <c r="R84" s="1"/>
      <c r="S84" s="1"/>
    </row>
    <row r="85" spans="1:19" ht="21.95" customHeight="1">
      <c r="A85" s="18">
        <v>75</v>
      </c>
      <c r="B85" s="19" t="s">
        <v>176</v>
      </c>
      <c r="C85" s="20" t="s">
        <v>177</v>
      </c>
      <c r="D85" s="21">
        <f>원자료!I81</f>
        <v>65700</v>
      </c>
      <c r="E85" s="21">
        <f>D85*원자료!J81/100000000</f>
        <v>50071.185449999997</v>
      </c>
      <c r="F85" s="22">
        <f>IF(원자료!T81="","미확인",원자료!T81)</f>
        <v>1886.71</v>
      </c>
      <c r="G85" s="21">
        <f>IF(원자료!D81="","미확인",원자료!D81)</f>
        <v>2215</v>
      </c>
      <c r="H85" s="35">
        <f t="shared" si="8"/>
        <v>0.17400130385697854</v>
      </c>
      <c r="I85" s="22">
        <f>IF(원자료!U81="","미확인",원자료!U81)</f>
        <v>2160</v>
      </c>
      <c r="J85" s="21">
        <f>IF(원자료!E81="","미확인",원자료!E81)</f>
        <v>2599</v>
      </c>
      <c r="K85" s="35">
        <f t="shared" si="9"/>
        <v>0.20324074074074083</v>
      </c>
      <c r="L85" s="42">
        <f t="shared" si="10"/>
        <v>22.605501331828442</v>
      </c>
      <c r="M85" s="23">
        <f t="shared" si="11"/>
        <v>19.265558080030779</v>
      </c>
      <c r="N85" s="43">
        <f>IF(원자료!O81="","미확인",원자료!O81)</f>
        <v>0.23199999999999998</v>
      </c>
      <c r="O85" s="23">
        <v>26.9</v>
      </c>
      <c r="P85" s="23">
        <v>22.9</v>
      </c>
      <c r="Q85" s="19" t="s">
        <v>27</v>
      </c>
      <c r="R85" s="1"/>
      <c r="S85" s="1"/>
    </row>
    <row r="86" spans="1:19" ht="21.95" customHeight="1">
      <c r="A86" s="18">
        <v>72</v>
      </c>
      <c r="B86" s="24" t="s">
        <v>170</v>
      </c>
      <c r="C86" s="25" t="s">
        <v>171</v>
      </c>
      <c r="D86" s="26">
        <f>원자료!I77</f>
        <v>10840</v>
      </c>
      <c r="E86" s="26">
        <f>D86*원자료!J77/100000000</f>
        <v>2314.9117016</v>
      </c>
      <c r="F86" s="27">
        <f>IF(원자료!T77="","미확인",원자료!T77)</f>
        <v>95</v>
      </c>
      <c r="G86" s="26">
        <f>IF(원자료!D77="","미확인",원자료!D77)</f>
        <v>110</v>
      </c>
      <c r="H86" s="36">
        <f t="shared" si="8"/>
        <v>0.15789473684210531</v>
      </c>
      <c r="I86" s="27">
        <f>IF(원자료!U77="","미확인",원자료!U77)</f>
        <v>70</v>
      </c>
      <c r="J86" s="26">
        <f>IF(원자료!E77="","미확인",원자료!E77)</f>
        <v>93</v>
      </c>
      <c r="K86" s="36">
        <f t="shared" si="9"/>
        <v>0.32857142857142851</v>
      </c>
      <c r="L86" s="44">
        <f t="shared" si="10"/>
        <v>21.044651832727272</v>
      </c>
      <c r="M86" s="28">
        <f t="shared" si="11"/>
        <v>24.891523673118279</v>
      </c>
      <c r="N86" s="45">
        <f>IF(원자료!O77="","미확인",원자료!O77)</f>
        <v>0.12939999999999999</v>
      </c>
      <c r="O86" s="28">
        <v>23.3</v>
      </c>
      <c r="P86" s="28">
        <v>27.7</v>
      </c>
      <c r="Q86" s="24" t="s">
        <v>27</v>
      </c>
      <c r="R86" s="1"/>
      <c r="S86" s="1"/>
    </row>
    <row r="87" spans="1:19" ht="21.95" customHeight="1">
      <c r="A87" s="18">
        <v>10</v>
      </c>
      <c r="B87" s="24" t="s">
        <v>45</v>
      </c>
      <c r="C87" s="25" t="s">
        <v>46</v>
      </c>
      <c r="D87" s="26">
        <f>원자료!I18</f>
        <v>5240</v>
      </c>
      <c r="E87" s="26">
        <f>D87*원자료!J18/100000000</f>
        <v>1667.9465484</v>
      </c>
      <c r="F87" s="27">
        <f>IF(원자료!T18="","미확인",원자료!T18)</f>
        <v>242.33</v>
      </c>
      <c r="G87" s="26">
        <f>IF(원자료!D18="","미확인",원자료!D18)</f>
        <v>278</v>
      </c>
      <c r="H87" s="36">
        <f t="shared" si="8"/>
        <v>0.14719597243428373</v>
      </c>
      <c r="I87" s="27">
        <f>IF(원자료!U18="","미확인",원자료!U18)</f>
        <v>265</v>
      </c>
      <c r="J87" s="26">
        <f>IF(원자료!E18="","미확인",원자료!E18)</f>
        <v>322</v>
      </c>
      <c r="K87" s="36">
        <f t="shared" si="9"/>
        <v>0.21509433962264146</v>
      </c>
      <c r="L87" s="44">
        <f t="shared" si="10"/>
        <v>5.9998077280575535</v>
      </c>
      <c r="M87" s="28">
        <f t="shared" si="11"/>
        <v>5.1799582248447207</v>
      </c>
      <c r="N87" s="45">
        <f>IF(원자료!O18="","미확인",원자료!O18)</f>
        <v>0.18579999999999999</v>
      </c>
      <c r="O87" s="28">
        <v>7.4</v>
      </c>
      <c r="P87" s="28">
        <v>6.4</v>
      </c>
      <c r="Q87" s="24" t="s">
        <v>27</v>
      </c>
      <c r="R87" s="1"/>
      <c r="S87" s="1"/>
    </row>
    <row r="88" spans="1:19" ht="21.95" customHeight="1">
      <c r="A88" s="18">
        <v>29</v>
      </c>
      <c r="B88" s="19" t="s">
        <v>83</v>
      </c>
      <c r="C88" s="20" t="s">
        <v>84</v>
      </c>
      <c r="D88" s="21">
        <f>원자료!I36</f>
        <v>10440</v>
      </c>
      <c r="E88" s="21">
        <f>D88*원자료!J36/100000000</f>
        <v>4561.5099455999998</v>
      </c>
      <c r="F88" s="22">
        <f>IF(원자료!T36="","미확인",원자료!T36)</f>
        <v>439</v>
      </c>
      <c r="G88" s="21">
        <f>IF(원자료!D36="","미확인",원자료!D36)</f>
        <v>495</v>
      </c>
      <c r="H88" s="35">
        <f t="shared" si="8"/>
        <v>0.1275626423690206</v>
      </c>
      <c r="I88" s="22">
        <f>IF(원자료!U36="","미확인",원자료!U36)</f>
        <v>691.67</v>
      </c>
      <c r="J88" s="21">
        <f>IF(원자료!E36="","미확인",원자료!E36)</f>
        <v>820</v>
      </c>
      <c r="K88" s="35">
        <f t="shared" si="9"/>
        <v>0.18553645524599882</v>
      </c>
      <c r="L88" s="42">
        <f t="shared" si="10"/>
        <v>9.2151716072727261</v>
      </c>
      <c r="M88" s="23">
        <f t="shared" si="11"/>
        <v>5.5628170068292677</v>
      </c>
      <c r="N88" s="43">
        <f>IF(원자료!O36="","미확인",원자료!O36)</f>
        <v>0.13900000000000001</v>
      </c>
      <c r="O88" s="23">
        <v>12.2</v>
      </c>
      <c r="P88" s="23">
        <v>7.3</v>
      </c>
      <c r="Q88" s="19" t="s">
        <v>32</v>
      </c>
      <c r="R88" s="1"/>
      <c r="S88" s="1"/>
    </row>
    <row r="89" spans="1:19" ht="21.95" customHeight="1">
      <c r="A89" s="18">
        <v>5</v>
      </c>
      <c r="B89" s="19" t="s">
        <v>35</v>
      </c>
      <c r="C89" s="20" t="s">
        <v>36</v>
      </c>
      <c r="D89" s="21">
        <f>원자료!I14</f>
        <v>36800</v>
      </c>
      <c r="E89" s="21">
        <f>D89*원자료!J14/100000000</f>
        <v>4055.5568800000001</v>
      </c>
      <c r="F89" s="22">
        <f>IF(원자료!T14="","미확인",원자료!T14)</f>
        <v>740</v>
      </c>
      <c r="G89" s="21">
        <f>IF(원자료!D14="","미확인",원자료!D14)</f>
        <v>830</v>
      </c>
      <c r="H89" s="35">
        <f t="shared" si="8"/>
        <v>0.12162162162162171</v>
      </c>
      <c r="I89" s="22">
        <f>IF(원자료!U14="","미확인",원자료!U14)</f>
        <v>756</v>
      </c>
      <c r="J89" s="21">
        <f>IF(원자료!E14="","미확인",원자료!E14)</f>
        <v>973</v>
      </c>
      <c r="K89" s="35">
        <f t="shared" si="9"/>
        <v>0.28703703703703698</v>
      </c>
      <c r="L89" s="42">
        <f t="shared" si="10"/>
        <v>4.8862131084337355</v>
      </c>
      <c r="M89" s="23">
        <f t="shared" si="11"/>
        <v>4.1680954573484073</v>
      </c>
      <c r="N89" s="43" t="str">
        <f>IF(원자료!O14="","미확인",원자료!O14)</f>
        <v>미확인</v>
      </c>
      <c r="O89" s="23">
        <v>6</v>
      </c>
      <c r="P89" s="23">
        <v>5.0999999999999996</v>
      </c>
      <c r="Q89" s="19" t="s">
        <v>27</v>
      </c>
      <c r="R89" s="1"/>
      <c r="S89" s="1"/>
    </row>
    <row r="90" spans="1:19" ht="21.95" customHeight="1">
      <c r="A90" s="18">
        <v>18</v>
      </c>
      <c r="B90" s="24" t="s">
        <v>61</v>
      </c>
      <c r="C90" s="25" t="s">
        <v>62</v>
      </c>
      <c r="D90" s="26">
        <f>원자료!I26</f>
        <v>15360</v>
      </c>
      <c r="E90" s="26">
        <f>D90*원자료!J26/100000000</f>
        <v>3119.0295551999998</v>
      </c>
      <c r="F90" s="27">
        <f>IF(원자료!T26="","미확인",원자료!T26)</f>
        <v>388</v>
      </c>
      <c r="G90" s="26">
        <f>IF(원자료!D26="","미확인",원자료!D26)</f>
        <v>423</v>
      </c>
      <c r="H90" s="36">
        <f t="shared" si="8"/>
        <v>9.0206185567010211E-2</v>
      </c>
      <c r="I90" s="27">
        <f>IF(원자료!U26="","미확인",원자료!U26)</f>
        <v>195</v>
      </c>
      <c r="J90" s="26">
        <f>IF(원자료!E26="","미확인",원자료!E26)</f>
        <v>276</v>
      </c>
      <c r="K90" s="36">
        <f t="shared" si="9"/>
        <v>0.41538461538461546</v>
      </c>
      <c r="L90" s="44">
        <f t="shared" si="10"/>
        <v>7.3735923290780141</v>
      </c>
      <c r="M90" s="28">
        <f t="shared" si="11"/>
        <v>11.300831721739129</v>
      </c>
      <c r="N90" s="45" t="str">
        <f>IF(원자료!O26="","미확인",원자료!O26)</f>
        <v>미확인</v>
      </c>
      <c r="O90" s="28">
        <v>8.9</v>
      </c>
      <c r="P90" s="28">
        <v>13.7</v>
      </c>
      <c r="Q90" s="24" t="s">
        <v>32</v>
      </c>
      <c r="R90" s="1"/>
      <c r="S90" s="1"/>
    </row>
    <row r="91" spans="1:19" ht="21.95" customHeight="1">
      <c r="A91" s="18">
        <v>84</v>
      </c>
      <c r="B91" s="24" t="s">
        <v>194</v>
      </c>
      <c r="C91" s="25" t="s">
        <v>195</v>
      </c>
      <c r="D91" s="26">
        <f>원자료!I90</f>
        <v>30250</v>
      </c>
      <c r="E91" s="26">
        <f>D91*원자료!J90/100000000</f>
        <v>20631.774432499999</v>
      </c>
      <c r="F91" s="27">
        <f>IF(원자료!T90="","미확인",원자료!T90)</f>
        <v>616.57000000000005</v>
      </c>
      <c r="G91" s="26">
        <f>IF(원자료!D90="","미확인",원자료!D90)</f>
        <v>672</v>
      </c>
      <c r="H91" s="36">
        <f t="shared" si="8"/>
        <v>8.9900579009682513E-2</v>
      </c>
      <c r="I91" s="27">
        <f>IF(원자료!U90="","미확인",원자료!U90)</f>
        <v>576.29</v>
      </c>
      <c r="J91" s="26">
        <f>IF(원자료!E90="","미확인",원자료!E90)</f>
        <v>736</v>
      </c>
      <c r="K91" s="36">
        <f t="shared" si="9"/>
        <v>0.2771347758940812</v>
      </c>
      <c r="L91" s="44">
        <f t="shared" si="10"/>
        <v>30.702045286458333</v>
      </c>
      <c r="M91" s="28">
        <f t="shared" si="11"/>
        <v>28.032302218070651</v>
      </c>
      <c r="N91" s="45">
        <f>IF(원자료!O90="","미확인",원자료!O90)</f>
        <v>0.16370000000000001</v>
      </c>
      <c r="O91" s="28">
        <v>37.200000000000003</v>
      </c>
      <c r="P91" s="28">
        <v>34</v>
      </c>
      <c r="Q91" s="24" t="s">
        <v>27</v>
      </c>
      <c r="R91" s="1"/>
      <c r="S91" s="1"/>
    </row>
    <row r="92" spans="1:19" ht="21.95" customHeight="1">
      <c r="A92" s="18">
        <v>30</v>
      </c>
      <c r="B92" s="24" t="s">
        <v>85</v>
      </c>
      <c r="C92" s="25" t="s">
        <v>86</v>
      </c>
      <c r="D92" s="26">
        <f>원자료!I38</f>
        <v>37100</v>
      </c>
      <c r="E92" s="26">
        <f>D92*원자료!J38/100000000</f>
        <v>24668.112399000001</v>
      </c>
      <c r="F92" s="27">
        <f>IF(원자료!T38="","미확인",원자료!T38)</f>
        <v>2379.5</v>
      </c>
      <c r="G92" s="26">
        <f>IF(원자료!D38="","미확인",원자료!D38)</f>
        <v>2581</v>
      </c>
      <c r="H92" s="36">
        <f t="shared" si="8"/>
        <v>8.4681655810044054E-2</v>
      </c>
      <c r="I92" s="27">
        <f>IF(원자료!U38="","미확인",원자료!U38)</f>
        <v>4170.5</v>
      </c>
      <c r="J92" s="26">
        <f>IF(원자료!E38="","미확인",원자료!E38)</f>
        <v>4299</v>
      </c>
      <c r="K92" s="36">
        <f t="shared" si="9"/>
        <v>3.0811653278983275E-2</v>
      </c>
      <c r="L92" s="44">
        <f t="shared" si="10"/>
        <v>9.5575793874467259</v>
      </c>
      <c r="M92" s="28">
        <f t="shared" si="11"/>
        <v>5.7381047683182143</v>
      </c>
      <c r="N92" s="45">
        <f>IF(원자료!O38="","미확인",원자료!O38)</f>
        <v>0.32380000000000003</v>
      </c>
      <c r="O92" s="28">
        <v>12.5</v>
      </c>
      <c r="P92" s="28">
        <v>7.5</v>
      </c>
      <c r="Q92" s="24" t="s">
        <v>32</v>
      </c>
      <c r="R92" s="1"/>
      <c r="S92" s="1"/>
    </row>
    <row r="93" spans="1:19" ht="21.95" customHeight="1">
      <c r="A93" s="18">
        <v>70</v>
      </c>
      <c r="B93" s="24" t="s">
        <v>166</v>
      </c>
      <c r="C93" s="25" t="s">
        <v>167</v>
      </c>
      <c r="D93" s="26">
        <f>원자료!I82</f>
        <v>99200</v>
      </c>
      <c r="E93" s="26">
        <f>D93*원자료!J82/100000000</f>
        <v>48691.229791999998</v>
      </c>
      <c r="F93" s="27">
        <f>IF(원자료!T82="","미확인",원자료!T82)</f>
        <v>2206.5</v>
      </c>
      <c r="G93" s="26">
        <f>IF(원자료!D82="","미확인",원자료!D82)</f>
        <v>2376</v>
      </c>
      <c r="H93" s="36">
        <f t="shared" si="8"/>
        <v>7.6818490822569752E-2</v>
      </c>
      <c r="I93" s="27">
        <f>IF(원자료!U82="","미확인",원자료!U82)</f>
        <v>1757.86</v>
      </c>
      <c r="J93" s="26">
        <f>IF(원자료!E82="","미확인",원자료!E82)</f>
        <v>2714</v>
      </c>
      <c r="K93" s="36">
        <f t="shared" si="9"/>
        <v>0.54392272422149679</v>
      </c>
      <c r="L93" s="44">
        <f t="shared" si="10"/>
        <v>20.49294183164983</v>
      </c>
      <c r="M93" s="28">
        <f t="shared" si="11"/>
        <v>17.940762635224761</v>
      </c>
      <c r="N93" s="45">
        <f>IF(원자료!O82="","미확인",원자료!O82)</f>
        <v>0.18239999999999998</v>
      </c>
      <c r="O93" s="28">
        <v>27</v>
      </c>
      <c r="P93" s="28">
        <v>23.7</v>
      </c>
      <c r="Q93" s="24" t="s">
        <v>27</v>
      </c>
      <c r="R93" s="1"/>
      <c r="S93" s="1"/>
    </row>
    <row r="94" spans="1:19" ht="21.95" customHeight="1">
      <c r="A94" s="18">
        <v>4</v>
      </c>
      <c r="B94" s="24" t="s">
        <v>33</v>
      </c>
      <c r="C94" s="25" t="s">
        <v>34</v>
      </c>
      <c r="D94" s="26">
        <f>원자료!I13</f>
        <v>19930</v>
      </c>
      <c r="E94" s="26">
        <f>D94*원자료!J13/100000000</f>
        <v>2009.9149895999999</v>
      </c>
      <c r="F94" s="27">
        <f>IF(원자료!T13="","미확인",원자료!T13)</f>
        <v>471</v>
      </c>
      <c r="G94" s="26">
        <f>IF(원자료!D13="","미확인",원자료!D13)</f>
        <v>491</v>
      </c>
      <c r="H94" s="36">
        <f t="shared" si="8"/>
        <v>4.2462845010615702E-2</v>
      </c>
      <c r="I94" s="27">
        <f>IF(원자료!U13="","미확인",원자료!U13)</f>
        <v>559</v>
      </c>
      <c r="J94" s="26">
        <f>IF(원자료!E13="","미확인",원자료!E13)</f>
        <v>580</v>
      </c>
      <c r="K94" s="36">
        <f t="shared" si="9"/>
        <v>3.7567084078711899E-2</v>
      </c>
      <c r="L94" s="44">
        <f t="shared" si="10"/>
        <v>4.0935132171079429</v>
      </c>
      <c r="M94" s="28">
        <f t="shared" si="11"/>
        <v>3.4653706717241377</v>
      </c>
      <c r="N94" s="45">
        <f>IF(원자료!O13="","미확인",원자료!O13)</f>
        <v>0.14749999999999999</v>
      </c>
      <c r="O94" s="28">
        <v>4.3</v>
      </c>
      <c r="P94" s="28">
        <v>3.7</v>
      </c>
      <c r="Q94" s="24" t="s">
        <v>27</v>
      </c>
      <c r="R94" s="1"/>
      <c r="S94" s="1"/>
    </row>
    <row r="95" spans="1:19" ht="21.95" customHeight="1">
      <c r="A95" s="18">
        <v>56</v>
      </c>
      <c r="B95" s="24" t="s">
        <v>138</v>
      </c>
      <c r="C95" s="25" t="s">
        <v>139</v>
      </c>
      <c r="D95" s="26">
        <f>원자료!I63</f>
        <v>35150</v>
      </c>
      <c r="E95" s="26">
        <f>D95*원자료!J63/100000000</f>
        <v>9947.4500000000007</v>
      </c>
      <c r="F95" s="27">
        <f>IF(원자료!T63="","미확인",원자료!T63)</f>
        <v>601.75</v>
      </c>
      <c r="G95" s="26">
        <f>IF(원자료!D63="","미확인",원자료!D63)</f>
        <v>625</v>
      </c>
      <c r="H95" s="36">
        <f t="shared" si="8"/>
        <v>3.8637307852098068E-2</v>
      </c>
      <c r="I95" s="27">
        <f>IF(원자료!U63="","미확인",원자료!U63)</f>
        <v>1162.5999999999999</v>
      </c>
      <c r="J95" s="26">
        <f>IF(원자료!E63="","미확인",원자료!E63)</f>
        <v>1446</v>
      </c>
      <c r="K95" s="36">
        <f t="shared" si="9"/>
        <v>0.24376397729227595</v>
      </c>
      <c r="L95" s="44">
        <f t="shared" si="10"/>
        <v>15.915920000000002</v>
      </c>
      <c r="M95" s="28">
        <f t="shared" si="11"/>
        <v>6.8792876901798072</v>
      </c>
      <c r="N95" s="45">
        <f>IF(원자료!O63="","미확인",원자료!O63)</f>
        <v>0.26170000000000004</v>
      </c>
      <c r="O95" s="28">
        <v>19.2</v>
      </c>
      <c r="P95" s="28">
        <v>8.3000000000000007</v>
      </c>
      <c r="Q95" s="24" t="s">
        <v>32</v>
      </c>
      <c r="R95" s="1"/>
      <c r="S95" s="1"/>
    </row>
    <row r="96" spans="1:19" ht="21.95" customHeight="1">
      <c r="A96" s="18">
        <v>23</v>
      </c>
      <c r="B96" s="19" t="s">
        <v>71</v>
      </c>
      <c r="C96" s="20" t="s">
        <v>72</v>
      </c>
      <c r="D96" s="21">
        <f>원자료!I29</f>
        <v>31600</v>
      </c>
      <c r="E96" s="21">
        <f>D96*원자료!J29/100000000</f>
        <v>5139.5187999999998</v>
      </c>
      <c r="F96" s="22">
        <f>IF(원자료!T29="","미확인",원자료!T29)</f>
        <v>610</v>
      </c>
      <c r="G96" s="21">
        <f>IF(원자료!D29="","미확인",원자료!D29)</f>
        <v>610</v>
      </c>
      <c r="H96" s="35">
        <f t="shared" si="8"/>
        <v>0</v>
      </c>
      <c r="I96" s="22">
        <f>IF(원자료!U29="","미확인",원자료!U29)</f>
        <v>781</v>
      </c>
      <c r="J96" s="21">
        <f>IF(원자료!E29="","미확인",원자료!E29)</f>
        <v>770</v>
      </c>
      <c r="K96" s="35">
        <f t="shared" si="9"/>
        <v>-1.4084507042253502E-2</v>
      </c>
      <c r="L96" s="42">
        <f t="shared" si="10"/>
        <v>8.4254406557377042</v>
      </c>
      <c r="M96" s="23">
        <f t="shared" si="11"/>
        <v>6.6746997402597401</v>
      </c>
      <c r="N96" s="43">
        <f>IF(원자료!O29="","미확인",원자료!O29)</f>
        <v>5.1200000000000002E-2</v>
      </c>
      <c r="O96" s="23">
        <v>9.5</v>
      </c>
      <c r="P96" s="23">
        <v>7.5</v>
      </c>
      <c r="Q96" s="19" t="s">
        <v>27</v>
      </c>
      <c r="R96" s="1"/>
      <c r="S96" s="1"/>
    </row>
    <row r="97" spans="1:22" ht="21.95" customHeight="1">
      <c r="A97" s="18">
        <v>69</v>
      </c>
      <c r="B97" s="19" t="s">
        <v>164</v>
      </c>
      <c r="C97" s="20" t="s">
        <v>165</v>
      </c>
      <c r="D97" s="21">
        <f>원자료!I80</f>
        <v>121800</v>
      </c>
      <c r="E97" s="21">
        <f>D97*원자료!J80/100000000</f>
        <v>27911.739156</v>
      </c>
      <c r="F97" s="22">
        <f>IF(원자료!T80="","미확인",원자료!T80)</f>
        <v>1422</v>
      </c>
      <c r="G97" s="21">
        <f>IF(원자료!D80="","미확인",원자료!D80)</f>
        <v>1382</v>
      </c>
      <c r="H97" s="35">
        <f t="shared" si="8"/>
        <v>-2.8129395218002839E-2</v>
      </c>
      <c r="I97" s="22">
        <f>IF(원자료!U80="","미확인",원자료!U80)</f>
        <v>1023</v>
      </c>
      <c r="J97" s="21">
        <f>IF(원자료!E80="","미확인",원자료!E80)</f>
        <v>1669</v>
      </c>
      <c r="K97" s="35">
        <f t="shared" si="9"/>
        <v>0.63147605083088965</v>
      </c>
      <c r="L97" s="42">
        <f t="shared" si="10"/>
        <v>20.196627464544139</v>
      </c>
      <c r="M97" s="23">
        <f t="shared" si="11"/>
        <v>16.723630411024565</v>
      </c>
      <c r="N97" s="43">
        <f>IF(원자료!O80="","미확인",원자료!O80)</f>
        <v>0.20800000000000002</v>
      </c>
      <c r="O97" s="23">
        <v>26.9</v>
      </c>
      <c r="P97" s="23">
        <v>22.2</v>
      </c>
      <c r="Q97" s="19" t="s">
        <v>27</v>
      </c>
      <c r="R97" s="1"/>
      <c r="S97" s="1"/>
    </row>
    <row r="98" spans="1:22" ht="21.95" customHeight="1">
      <c r="A98" s="18">
        <v>21</v>
      </c>
      <c r="B98" s="19" t="s">
        <v>67</v>
      </c>
      <c r="C98" s="20" t="s">
        <v>68</v>
      </c>
      <c r="D98" s="21">
        <f>원자료!I31</f>
        <v>61600</v>
      </c>
      <c r="E98" s="21">
        <f>D98*원자료!J31/100000000</f>
        <v>5544</v>
      </c>
      <c r="F98" s="22">
        <f>IF(원자료!T31="","미확인",원자료!T31)</f>
        <v>787</v>
      </c>
      <c r="G98" s="21">
        <f>IF(원자료!D31="","미확인",원자료!D31)</f>
        <v>703</v>
      </c>
      <c r="H98" s="35">
        <f t="shared" si="8"/>
        <v>-0.10673443456162646</v>
      </c>
      <c r="I98" s="22">
        <f>IF(원자료!U31="","미확인",원자료!U31)</f>
        <v>746</v>
      </c>
      <c r="J98" s="21">
        <f>IF(원자료!E31="","미확인",원자료!E31)</f>
        <v>800</v>
      </c>
      <c r="K98" s="35">
        <f t="shared" si="9"/>
        <v>7.2386058981233292E-2</v>
      </c>
      <c r="L98" s="42">
        <f t="shared" si="10"/>
        <v>7.8862019914651498</v>
      </c>
      <c r="M98" s="23">
        <f t="shared" si="11"/>
        <v>6.93</v>
      </c>
      <c r="N98" s="43">
        <f>IF(원자료!O31="","미확인",원자료!O31)</f>
        <v>0.1537</v>
      </c>
      <c r="O98" s="23">
        <v>10</v>
      </c>
      <c r="P98" s="23">
        <v>8.8000000000000007</v>
      </c>
      <c r="Q98" s="19" t="s">
        <v>27</v>
      </c>
      <c r="R98" s="1"/>
      <c r="S98" s="1"/>
    </row>
    <row r="99" spans="1:22" ht="21.95" customHeight="1" thickBot="1">
      <c r="A99" s="18">
        <v>77</v>
      </c>
      <c r="B99" s="29" t="s">
        <v>180</v>
      </c>
      <c r="C99" s="30" t="s">
        <v>181</v>
      </c>
      <c r="D99" s="31">
        <f>원자료!I95</f>
        <v>25300</v>
      </c>
      <c r="E99" s="31">
        <f>D99*원자료!J95/100000000</f>
        <v>19089.317544000001</v>
      </c>
      <c r="F99" s="32">
        <f>IF(원자료!T95="","미확인",원자료!T95)</f>
        <v>2246</v>
      </c>
      <c r="G99" s="31">
        <f>IF(원자료!D95="","미확인",원자료!D95)</f>
        <v>797</v>
      </c>
      <c r="H99" s="38">
        <f t="shared" si="8"/>
        <v>-0.64514692787177208</v>
      </c>
      <c r="I99" s="32">
        <f>IF(원자료!U95="","미확인",원자료!U95)</f>
        <v>410</v>
      </c>
      <c r="J99" s="31">
        <f>IF(원자료!E95="","미확인",원자료!E95)</f>
        <v>1081</v>
      </c>
      <c r="K99" s="38">
        <f t="shared" si="9"/>
        <v>1.6365853658536587</v>
      </c>
      <c r="L99" s="48">
        <f t="shared" si="10"/>
        <v>23.951464923462989</v>
      </c>
      <c r="M99" s="49">
        <f t="shared" si="11"/>
        <v>17.658943148936171</v>
      </c>
      <c r="N99" s="50">
        <f>IF(원자료!O95="","미확인",원자료!O95)</f>
        <v>9.4600000000000004E-2</v>
      </c>
      <c r="O99" s="33"/>
      <c r="P99" s="33"/>
      <c r="Q99" s="29" t="s">
        <v>113</v>
      </c>
      <c r="R99" s="1"/>
      <c r="S99" s="1"/>
    </row>
    <row r="100" spans="1:22" ht="21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1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1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1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1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1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5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C10" sqref="C10"/>
    </sheetView>
  </sheetViews>
  <sheetFormatPr defaultRowHeight="14.25"/>
  <cols>
    <col min="1" max="1" width="23" customWidth="1"/>
    <col min="2" max="2" width="10" customWidth="1"/>
    <col min="3" max="10" width="16" customWidth="1"/>
    <col min="11" max="11" width="30" customWidth="1"/>
    <col min="12" max="14" width="60" customWidth="1"/>
    <col min="15" max="17" width="18" customWidth="1"/>
    <col min="18" max="18" width="60" customWidth="1"/>
    <col min="19" max="19" width="95" customWidth="1"/>
    <col min="20" max="21" width="17" customWidth="1"/>
    <col min="22" max="22" width="16" customWidth="1"/>
    <col min="23" max="23" width="64" customWidth="1"/>
    <col min="24" max="24" width="70" customWidth="1"/>
  </cols>
  <sheetData>
    <row r="1" spans="1:24" ht="21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21.95" customHeight="1">
      <c r="A2" s="1" t="s">
        <v>209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4" ht="21.95" customHeight="1">
      <c r="A3" s="1" t="s">
        <v>210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211</v>
      </c>
      <c r="P3" s="1"/>
      <c r="Q3" s="1"/>
      <c r="R3" s="1"/>
      <c r="S3" s="1"/>
      <c r="T3" s="1"/>
      <c r="U3" s="1"/>
      <c r="V3" s="1"/>
    </row>
    <row r="4" spans="1:24" ht="21.95" customHeight="1">
      <c r="A4" s="1" t="s">
        <v>212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213</v>
      </c>
      <c r="P4" s="1"/>
      <c r="Q4" s="1"/>
      <c r="R4" s="1"/>
      <c r="S4" s="1"/>
      <c r="T4" s="1"/>
      <c r="U4" s="1"/>
      <c r="V4" s="1"/>
    </row>
    <row r="5" spans="1:24" ht="21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 t="s">
        <v>214</v>
      </c>
      <c r="P5" s="1"/>
      <c r="Q5" s="1"/>
      <c r="R5" s="1"/>
      <c r="S5" s="1"/>
      <c r="T5" s="1"/>
      <c r="U5" s="1"/>
      <c r="V5" s="1"/>
    </row>
    <row r="6" spans="1:24" ht="21.9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 ht="21.9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4" ht="21.9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4" ht="30" customHeight="1">
      <c r="A9" s="3" t="s">
        <v>9</v>
      </c>
      <c r="B9" s="3" t="s">
        <v>10</v>
      </c>
      <c r="C9" s="3" t="s">
        <v>215</v>
      </c>
      <c r="D9" s="3" t="s">
        <v>13</v>
      </c>
      <c r="E9" s="3" t="s">
        <v>14</v>
      </c>
      <c r="F9" s="3" t="s">
        <v>18</v>
      </c>
      <c r="G9" s="3" t="s">
        <v>19</v>
      </c>
      <c r="H9" s="3" t="s">
        <v>216</v>
      </c>
      <c r="I9" s="3" t="s">
        <v>11</v>
      </c>
      <c r="J9" s="3" t="s">
        <v>217</v>
      </c>
      <c r="K9" s="3" t="s">
        <v>218</v>
      </c>
      <c r="L9" s="3" t="s">
        <v>219</v>
      </c>
      <c r="M9" s="3" t="s">
        <v>220</v>
      </c>
      <c r="N9" s="3" t="s">
        <v>221</v>
      </c>
      <c r="O9" s="12" t="s">
        <v>17</v>
      </c>
      <c r="P9" s="12" t="s">
        <v>222</v>
      </c>
      <c r="Q9" s="12" t="s">
        <v>223</v>
      </c>
      <c r="R9" s="12" t="s">
        <v>224</v>
      </c>
      <c r="S9" s="14" t="s">
        <v>225</v>
      </c>
      <c r="T9" s="16" t="s">
        <v>226</v>
      </c>
      <c r="U9" s="16" t="s">
        <v>227</v>
      </c>
      <c r="V9" s="16" t="s">
        <v>228</v>
      </c>
      <c r="W9" s="16" t="s">
        <v>229</v>
      </c>
      <c r="X9" s="16" t="s">
        <v>230</v>
      </c>
    </row>
    <row r="10" spans="1:24" ht="21.95" customHeight="1">
      <c r="A10" s="4" t="s">
        <v>25</v>
      </c>
      <c r="B10" s="8" t="s">
        <v>26</v>
      </c>
      <c r="C10" s="5">
        <v>14640000</v>
      </c>
      <c r="D10" s="5">
        <v>4500000</v>
      </c>
      <c r="E10" s="5">
        <v>5550000</v>
      </c>
      <c r="F10" s="5">
        <v>3.3</v>
      </c>
      <c r="G10" s="5">
        <v>2.6</v>
      </c>
      <c r="H10" s="6"/>
      <c r="I10" s="7">
        <v>207500</v>
      </c>
      <c r="J10" s="7">
        <v>5846278608</v>
      </c>
      <c r="K10" s="9" t="s">
        <v>231</v>
      </c>
      <c r="L10" s="4" t="s">
        <v>232</v>
      </c>
      <c r="M10" s="4" t="s">
        <v>233</v>
      </c>
      <c r="N10" s="4" t="s">
        <v>233</v>
      </c>
      <c r="O10" s="11">
        <v>0.50319999999999998</v>
      </c>
      <c r="P10" s="4" t="s">
        <v>234</v>
      </c>
      <c r="Q10" s="4" t="s">
        <v>235</v>
      </c>
      <c r="R10" s="4" t="s">
        <v>236</v>
      </c>
      <c r="S10" s="13" t="s">
        <v>237</v>
      </c>
      <c r="T10" s="17">
        <v>3036390.95</v>
      </c>
      <c r="U10" s="17">
        <v>3716393.43</v>
      </c>
      <c r="V10" s="4" t="s">
        <v>234</v>
      </c>
      <c r="W10" s="15" t="s">
        <v>236</v>
      </c>
      <c r="X10" s="15" t="s">
        <v>238</v>
      </c>
    </row>
    <row r="11" spans="1:24" ht="21.95" customHeight="1">
      <c r="A11" s="4" t="s">
        <v>28</v>
      </c>
      <c r="B11" s="8" t="s">
        <v>29</v>
      </c>
      <c r="C11" s="5">
        <v>11720000</v>
      </c>
      <c r="D11" s="5">
        <v>3260000</v>
      </c>
      <c r="E11" s="5">
        <v>4020000</v>
      </c>
      <c r="F11" s="5">
        <v>3.6</v>
      </c>
      <c r="G11" s="5">
        <v>2.9</v>
      </c>
      <c r="H11" s="6"/>
      <c r="I11" s="7">
        <v>1238000</v>
      </c>
      <c r="J11" s="7">
        <v>730492365</v>
      </c>
      <c r="K11" s="9" t="s">
        <v>231</v>
      </c>
      <c r="L11" s="4" t="s">
        <v>232</v>
      </c>
      <c r="M11" s="4" t="s">
        <v>239</v>
      </c>
      <c r="N11" s="4" t="s">
        <v>239</v>
      </c>
      <c r="O11" s="11">
        <v>0.62109999999999999</v>
      </c>
      <c r="P11" s="4" t="s">
        <v>234</v>
      </c>
      <c r="Q11" s="4" t="s">
        <v>235</v>
      </c>
      <c r="R11" s="4" t="s">
        <v>240</v>
      </c>
      <c r="S11" s="13" t="s">
        <v>237</v>
      </c>
      <c r="T11" s="17">
        <v>2557448.67</v>
      </c>
      <c r="U11" s="17">
        <v>2625689.81</v>
      </c>
      <c r="V11" s="4" t="s">
        <v>234</v>
      </c>
      <c r="W11" s="15" t="s">
        <v>240</v>
      </c>
      <c r="X11" s="15" t="s">
        <v>238</v>
      </c>
    </row>
    <row r="12" spans="1:24" ht="60" customHeight="1">
      <c r="A12" s="4" t="s">
        <v>30</v>
      </c>
      <c r="B12" s="8" t="s">
        <v>31</v>
      </c>
      <c r="C12" s="5">
        <v>4618</v>
      </c>
      <c r="D12" s="5">
        <v>1079</v>
      </c>
      <c r="E12" s="5">
        <v>1744</v>
      </c>
      <c r="F12" s="5">
        <v>4.3</v>
      </c>
      <c r="G12" s="5">
        <v>2.6</v>
      </c>
      <c r="H12" s="6" t="s">
        <v>216</v>
      </c>
      <c r="I12" s="7">
        <v>14690</v>
      </c>
      <c r="J12" s="7">
        <v>24564058</v>
      </c>
      <c r="K12" s="9" t="s">
        <v>231</v>
      </c>
      <c r="L12" s="4" t="s">
        <v>232</v>
      </c>
      <c r="M12" s="4" t="s">
        <v>241</v>
      </c>
      <c r="N12" s="4" t="s">
        <v>241</v>
      </c>
      <c r="O12" s="11" t="s">
        <v>242</v>
      </c>
      <c r="P12" s="4" t="s">
        <v>234</v>
      </c>
      <c r="Q12" s="4" t="s">
        <v>235</v>
      </c>
      <c r="R12" s="4" t="s">
        <v>243</v>
      </c>
      <c r="S12" s="13" t="s">
        <v>244</v>
      </c>
      <c r="T12" s="17">
        <v>647.5</v>
      </c>
      <c r="U12" s="17">
        <v>1077.33</v>
      </c>
      <c r="V12" s="4" t="s">
        <v>234</v>
      </c>
      <c r="W12" s="15" t="s">
        <v>243</v>
      </c>
      <c r="X12" s="15" t="s">
        <v>245</v>
      </c>
    </row>
    <row r="13" spans="1:24" ht="21.95" customHeight="1">
      <c r="A13" s="4" t="s">
        <v>33</v>
      </c>
      <c r="B13" s="8" t="s">
        <v>34</v>
      </c>
      <c r="C13" s="5">
        <v>2123</v>
      </c>
      <c r="D13" s="5">
        <v>491</v>
      </c>
      <c r="E13" s="5">
        <v>580</v>
      </c>
      <c r="F13" s="5">
        <v>4.3</v>
      </c>
      <c r="G13" s="5">
        <v>3.7</v>
      </c>
      <c r="H13" s="6"/>
      <c r="I13" s="7">
        <v>19930</v>
      </c>
      <c r="J13" s="7">
        <v>10084872</v>
      </c>
      <c r="K13" s="9" t="s">
        <v>231</v>
      </c>
      <c r="L13" s="4" t="s">
        <v>232</v>
      </c>
      <c r="M13" s="4" t="s">
        <v>246</v>
      </c>
      <c r="N13" s="4" t="s">
        <v>246</v>
      </c>
      <c r="O13" s="11">
        <v>0.14749999999999999</v>
      </c>
      <c r="P13" s="4" t="s">
        <v>234</v>
      </c>
      <c r="Q13" s="4" t="s">
        <v>235</v>
      </c>
      <c r="R13" s="4" t="s">
        <v>247</v>
      </c>
      <c r="S13" s="13" t="s">
        <v>237</v>
      </c>
      <c r="T13" s="17">
        <v>471</v>
      </c>
      <c r="U13" s="17">
        <v>559</v>
      </c>
      <c r="V13" s="4" t="s">
        <v>234</v>
      </c>
      <c r="W13" s="15" t="s">
        <v>247</v>
      </c>
      <c r="X13" s="15" t="s">
        <v>238</v>
      </c>
    </row>
    <row r="14" spans="1:24" ht="60" customHeight="1">
      <c r="A14" s="4" t="s">
        <v>35</v>
      </c>
      <c r="B14" s="8" t="s">
        <v>36</v>
      </c>
      <c r="C14" s="5">
        <v>4953</v>
      </c>
      <c r="D14" s="5">
        <v>830</v>
      </c>
      <c r="E14" s="5">
        <v>973</v>
      </c>
      <c r="F14" s="5">
        <v>6</v>
      </c>
      <c r="G14" s="5">
        <v>5.0999999999999996</v>
      </c>
      <c r="H14" s="6"/>
      <c r="I14" s="7">
        <v>36800</v>
      </c>
      <c r="J14" s="7">
        <v>11020535</v>
      </c>
      <c r="K14" s="9" t="s">
        <v>231</v>
      </c>
      <c r="L14" s="4" t="s">
        <v>232</v>
      </c>
      <c r="M14" s="4" t="s">
        <v>248</v>
      </c>
      <c r="N14" s="4" t="s">
        <v>248</v>
      </c>
      <c r="O14" s="11" t="s">
        <v>242</v>
      </c>
      <c r="P14" s="4" t="s">
        <v>234</v>
      </c>
      <c r="Q14" s="4" t="s">
        <v>235</v>
      </c>
      <c r="R14" s="4" t="s">
        <v>249</v>
      </c>
      <c r="S14" s="13" t="s">
        <v>250</v>
      </c>
      <c r="T14" s="17">
        <v>740</v>
      </c>
      <c r="U14" s="17">
        <v>756</v>
      </c>
      <c r="V14" s="4" t="s">
        <v>234</v>
      </c>
      <c r="W14" s="15" t="s">
        <v>249</v>
      </c>
      <c r="X14" s="15" t="s">
        <v>238</v>
      </c>
    </row>
    <row r="15" spans="1:24" ht="21.95" customHeight="1">
      <c r="A15" s="4" t="s">
        <v>39</v>
      </c>
      <c r="B15" s="8" t="s">
        <v>40</v>
      </c>
      <c r="C15" s="5">
        <v>1251</v>
      </c>
      <c r="D15" s="5">
        <v>195</v>
      </c>
      <c r="E15" s="5">
        <v>288</v>
      </c>
      <c r="F15" s="5">
        <v>6.4</v>
      </c>
      <c r="G15" s="5">
        <v>4.3</v>
      </c>
      <c r="H15" s="6" t="s">
        <v>216</v>
      </c>
      <c r="I15" s="7">
        <v>13050</v>
      </c>
      <c r="J15" s="7">
        <v>8306377</v>
      </c>
      <c r="K15" s="9" t="s">
        <v>231</v>
      </c>
      <c r="L15" s="4" t="s">
        <v>232</v>
      </c>
      <c r="M15" s="4" t="s">
        <v>251</v>
      </c>
      <c r="N15" s="4" t="s">
        <v>251</v>
      </c>
      <c r="O15" s="11">
        <v>0.18840000000000001</v>
      </c>
      <c r="P15" s="4" t="s">
        <v>234</v>
      </c>
      <c r="Q15" s="4" t="s">
        <v>235</v>
      </c>
      <c r="R15" s="4" t="s">
        <v>252</v>
      </c>
      <c r="S15" s="13" t="s">
        <v>237</v>
      </c>
      <c r="T15" s="17">
        <v>116</v>
      </c>
      <c r="U15" s="17">
        <v>161</v>
      </c>
      <c r="V15" s="4" t="s">
        <v>234</v>
      </c>
      <c r="W15" s="15" t="s">
        <v>252</v>
      </c>
      <c r="X15" s="15" t="s">
        <v>238</v>
      </c>
    </row>
    <row r="16" spans="1:24" ht="21.95" customHeight="1">
      <c r="A16" s="4" t="s">
        <v>43</v>
      </c>
      <c r="B16" s="8" t="s">
        <v>44</v>
      </c>
      <c r="C16" s="5">
        <v>5125</v>
      </c>
      <c r="D16" s="5">
        <v>772</v>
      </c>
      <c r="E16" s="5">
        <v>931</v>
      </c>
      <c r="F16" s="5">
        <v>6.6</v>
      </c>
      <c r="G16" s="5">
        <v>5.5</v>
      </c>
      <c r="H16" s="6"/>
      <c r="I16" s="7">
        <v>36150</v>
      </c>
      <c r="J16" s="7">
        <v>12608000</v>
      </c>
      <c r="K16" s="9" t="s">
        <v>231</v>
      </c>
      <c r="L16" s="4" t="s">
        <v>232</v>
      </c>
      <c r="M16" s="4" t="s">
        <v>253</v>
      </c>
      <c r="N16" s="4" t="s">
        <v>253</v>
      </c>
      <c r="O16" s="11">
        <v>0.12609999999999999</v>
      </c>
      <c r="P16" s="4" t="s">
        <v>234</v>
      </c>
      <c r="Q16" s="4" t="s">
        <v>235</v>
      </c>
      <c r="R16" s="4" t="s">
        <v>254</v>
      </c>
      <c r="S16" s="13" t="s">
        <v>237</v>
      </c>
      <c r="T16" s="17">
        <v>589.66999999999996</v>
      </c>
      <c r="U16" s="17">
        <v>679</v>
      </c>
      <c r="V16" s="4" t="s">
        <v>234</v>
      </c>
      <c r="W16" s="15" t="s">
        <v>254</v>
      </c>
      <c r="X16" s="15" t="s">
        <v>238</v>
      </c>
    </row>
    <row r="17" spans="1:24" ht="21.95" customHeight="1">
      <c r="A17" s="4" t="s">
        <v>37</v>
      </c>
      <c r="B17" s="8" t="s">
        <v>38</v>
      </c>
      <c r="C17" s="5">
        <v>2568</v>
      </c>
      <c r="D17" s="5">
        <v>366</v>
      </c>
      <c r="E17" s="5">
        <v>444</v>
      </c>
      <c r="F17" s="5">
        <v>7</v>
      </c>
      <c r="G17" s="5">
        <v>5.8</v>
      </c>
      <c r="H17" s="6"/>
      <c r="I17" s="7">
        <v>25050</v>
      </c>
      <c r="J17" s="7">
        <v>8025395</v>
      </c>
      <c r="K17" s="9" t="s">
        <v>231</v>
      </c>
      <c r="L17" s="4" t="s">
        <v>232</v>
      </c>
      <c r="M17" s="4" t="s">
        <v>255</v>
      </c>
      <c r="N17" s="4" t="s">
        <v>255</v>
      </c>
      <c r="O17" s="11">
        <v>0.26329999999999998</v>
      </c>
      <c r="P17" s="4" t="s">
        <v>234</v>
      </c>
      <c r="Q17" s="4" t="s">
        <v>235</v>
      </c>
      <c r="R17" s="4" t="s">
        <v>256</v>
      </c>
      <c r="S17" s="13" t="s">
        <v>237</v>
      </c>
      <c r="T17" s="17">
        <v>250</v>
      </c>
      <c r="U17" s="17">
        <v>312</v>
      </c>
      <c r="V17" s="4" t="s">
        <v>234</v>
      </c>
      <c r="W17" s="15" t="s">
        <v>256</v>
      </c>
      <c r="X17" s="15" t="s">
        <v>238</v>
      </c>
    </row>
    <row r="18" spans="1:24" ht="21.95" customHeight="1">
      <c r="A18" s="4" t="s">
        <v>45</v>
      </c>
      <c r="B18" s="8" t="s">
        <v>46</v>
      </c>
      <c r="C18" s="5">
        <v>2060</v>
      </c>
      <c r="D18" s="5">
        <v>278</v>
      </c>
      <c r="E18" s="5">
        <v>322</v>
      </c>
      <c r="F18" s="5">
        <v>7.4</v>
      </c>
      <c r="G18" s="5">
        <v>6.4</v>
      </c>
      <c r="H18" s="6"/>
      <c r="I18" s="7">
        <v>5240</v>
      </c>
      <c r="J18" s="7">
        <v>31831041</v>
      </c>
      <c r="K18" s="9" t="s">
        <v>231</v>
      </c>
      <c r="L18" s="4" t="s">
        <v>232</v>
      </c>
      <c r="M18" s="4" t="s">
        <v>257</v>
      </c>
      <c r="N18" s="4" t="s">
        <v>257</v>
      </c>
      <c r="O18" s="11">
        <v>0.18579999999999999</v>
      </c>
      <c r="P18" s="4" t="s">
        <v>234</v>
      </c>
      <c r="Q18" s="4" t="s">
        <v>235</v>
      </c>
      <c r="R18" s="4" t="s">
        <v>258</v>
      </c>
      <c r="S18" s="13" t="s">
        <v>237</v>
      </c>
      <c r="T18" s="17">
        <v>242.33</v>
      </c>
      <c r="U18" s="17">
        <v>265</v>
      </c>
      <c r="V18" s="4" t="s">
        <v>234</v>
      </c>
      <c r="W18" s="15" t="s">
        <v>258</v>
      </c>
      <c r="X18" s="15" t="s">
        <v>238</v>
      </c>
    </row>
    <row r="19" spans="1:24" ht="21.95" customHeight="1">
      <c r="A19" s="4" t="s">
        <v>41</v>
      </c>
      <c r="B19" s="8" t="s">
        <v>42</v>
      </c>
      <c r="C19" s="5">
        <v>2868</v>
      </c>
      <c r="D19" s="5">
        <v>369</v>
      </c>
      <c r="E19" s="5">
        <v>460</v>
      </c>
      <c r="F19" s="5">
        <v>7.8</v>
      </c>
      <c r="G19" s="5">
        <v>6.2</v>
      </c>
      <c r="H19" s="6"/>
      <c r="I19" s="7">
        <v>10190</v>
      </c>
      <c r="J19" s="7">
        <v>21134126</v>
      </c>
      <c r="K19" s="9" t="s">
        <v>231</v>
      </c>
      <c r="L19" s="4" t="s">
        <v>232</v>
      </c>
      <c r="M19" s="4" t="s">
        <v>259</v>
      </c>
      <c r="N19" s="4" t="s">
        <v>259</v>
      </c>
      <c r="O19" s="11">
        <v>0.27710000000000001</v>
      </c>
      <c r="P19" s="4" t="s">
        <v>234</v>
      </c>
      <c r="Q19" s="4" t="s">
        <v>235</v>
      </c>
      <c r="R19" s="4" t="s">
        <v>260</v>
      </c>
      <c r="S19" s="13" t="s">
        <v>237</v>
      </c>
      <c r="T19" s="17">
        <v>195.75</v>
      </c>
      <c r="U19" s="17">
        <v>218.7</v>
      </c>
      <c r="V19" s="4" t="s">
        <v>234</v>
      </c>
      <c r="W19" s="15" t="s">
        <v>260</v>
      </c>
      <c r="X19" s="15" t="s">
        <v>238</v>
      </c>
    </row>
    <row r="20" spans="1:24" ht="21.95" customHeight="1">
      <c r="A20" s="4" t="s">
        <v>51</v>
      </c>
      <c r="B20" s="8" t="s">
        <v>52</v>
      </c>
      <c r="C20" s="5">
        <v>6987</v>
      </c>
      <c r="D20" s="5">
        <v>873</v>
      </c>
      <c r="E20" s="5">
        <v>1223</v>
      </c>
      <c r="F20" s="5">
        <v>8</v>
      </c>
      <c r="G20" s="5">
        <v>5.7</v>
      </c>
      <c r="H20" s="6"/>
      <c r="I20" s="7">
        <v>41050</v>
      </c>
      <c r="J20" s="7">
        <v>14287836</v>
      </c>
      <c r="K20" s="9" t="s">
        <v>231</v>
      </c>
      <c r="L20" s="4" t="s">
        <v>232</v>
      </c>
      <c r="M20" s="4" t="s">
        <v>261</v>
      </c>
      <c r="N20" s="4" t="s">
        <v>261</v>
      </c>
      <c r="O20" s="11">
        <v>0.15839999999999999</v>
      </c>
      <c r="P20" s="4" t="s">
        <v>234</v>
      </c>
      <c r="Q20" s="4" t="s">
        <v>235</v>
      </c>
      <c r="R20" s="4" t="s">
        <v>262</v>
      </c>
      <c r="S20" s="13" t="s">
        <v>237</v>
      </c>
      <c r="T20" s="17">
        <v>660.5</v>
      </c>
      <c r="U20" s="17">
        <v>965.75</v>
      </c>
      <c r="V20" s="4" t="s">
        <v>234</v>
      </c>
      <c r="W20" s="15" t="s">
        <v>262</v>
      </c>
      <c r="X20" s="15" t="s">
        <v>238</v>
      </c>
    </row>
    <row r="21" spans="1:24" ht="21.95" customHeight="1">
      <c r="A21" s="4" t="s">
        <v>49</v>
      </c>
      <c r="B21" s="8" t="s">
        <v>50</v>
      </c>
      <c r="C21" s="5">
        <v>1467</v>
      </c>
      <c r="D21" s="5">
        <v>180</v>
      </c>
      <c r="E21" s="5">
        <v>224</v>
      </c>
      <c r="F21" s="5">
        <v>8.1</v>
      </c>
      <c r="G21" s="5">
        <v>6.6</v>
      </c>
      <c r="H21" s="6"/>
      <c r="I21" s="7">
        <v>7980</v>
      </c>
      <c r="J21" s="7">
        <v>15144233</v>
      </c>
      <c r="K21" s="9" t="s">
        <v>231</v>
      </c>
      <c r="L21" s="4" t="s">
        <v>232</v>
      </c>
      <c r="M21" s="4" t="s">
        <v>263</v>
      </c>
      <c r="N21" s="4" t="s">
        <v>263</v>
      </c>
      <c r="O21" s="11">
        <v>0.11869999999999999</v>
      </c>
      <c r="P21" s="4" t="s">
        <v>234</v>
      </c>
      <c r="Q21" s="4" t="s">
        <v>235</v>
      </c>
      <c r="R21" s="4" t="s">
        <v>264</v>
      </c>
      <c r="S21" s="13" t="s">
        <v>237</v>
      </c>
      <c r="T21" s="17">
        <v>30.5</v>
      </c>
      <c r="U21" s="17">
        <v>171.5</v>
      </c>
      <c r="V21" s="4" t="s">
        <v>234</v>
      </c>
      <c r="W21" s="15" t="s">
        <v>264</v>
      </c>
      <c r="X21" s="15" t="s">
        <v>238</v>
      </c>
    </row>
    <row r="22" spans="1:24" ht="21.95" customHeight="1">
      <c r="A22" s="4" t="s">
        <v>47</v>
      </c>
      <c r="B22" s="8" t="s">
        <v>48</v>
      </c>
      <c r="C22" s="5">
        <v>2928</v>
      </c>
      <c r="D22" s="5">
        <v>360</v>
      </c>
      <c r="E22" s="5">
        <v>457</v>
      </c>
      <c r="F22" s="5">
        <v>8.1</v>
      </c>
      <c r="G22" s="5">
        <v>6.4</v>
      </c>
      <c r="H22" s="6"/>
      <c r="I22" s="7">
        <v>20000</v>
      </c>
      <c r="J22" s="7">
        <v>10924243</v>
      </c>
      <c r="K22" s="9" t="s">
        <v>231</v>
      </c>
      <c r="L22" s="4" t="s">
        <v>232</v>
      </c>
      <c r="M22" s="4" t="s">
        <v>265</v>
      </c>
      <c r="N22" s="4" t="s">
        <v>265</v>
      </c>
      <c r="O22" s="11">
        <v>0.1552</v>
      </c>
      <c r="P22" s="4" t="s">
        <v>234</v>
      </c>
      <c r="Q22" s="4" t="s">
        <v>235</v>
      </c>
      <c r="R22" s="4" t="s">
        <v>266</v>
      </c>
      <c r="S22" s="13" t="s">
        <v>237</v>
      </c>
      <c r="T22" s="17">
        <v>284</v>
      </c>
      <c r="U22" s="17">
        <v>359</v>
      </c>
      <c r="V22" s="4" t="s">
        <v>234</v>
      </c>
      <c r="W22" s="15" t="s">
        <v>266</v>
      </c>
      <c r="X22" s="15" t="s">
        <v>238</v>
      </c>
    </row>
    <row r="23" spans="1:24" ht="60" customHeight="1">
      <c r="A23" s="4" t="s">
        <v>57</v>
      </c>
      <c r="B23" s="8" t="s">
        <v>58</v>
      </c>
      <c r="C23" s="5">
        <v>4129</v>
      </c>
      <c r="D23" s="5">
        <v>477</v>
      </c>
      <c r="E23" s="5">
        <v>613</v>
      </c>
      <c r="F23" s="5">
        <v>8.6999999999999993</v>
      </c>
      <c r="G23" s="5">
        <v>6.7</v>
      </c>
      <c r="H23" s="6"/>
      <c r="I23" s="7">
        <v>11810</v>
      </c>
      <c r="J23" s="7">
        <v>28143174</v>
      </c>
      <c r="K23" s="9" t="s">
        <v>231</v>
      </c>
      <c r="L23" s="4" t="s">
        <v>232</v>
      </c>
      <c r="M23" s="4" t="s">
        <v>267</v>
      </c>
      <c r="N23" s="4" t="s">
        <v>267</v>
      </c>
      <c r="O23" s="11" t="s">
        <v>242</v>
      </c>
      <c r="P23" s="4" t="s">
        <v>234</v>
      </c>
      <c r="Q23" s="4" t="s">
        <v>235</v>
      </c>
      <c r="R23" s="4" t="s">
        <v>268</v>
      </c>
      <c r="S23" s="13" t="s">
        <v>250</v>
      </c>
      <c r="T23" s="17">
        <v>337</v>
      </c>
      <c r="U23" s="17">
        <v>427</v>
      </c>
      <c r="V23" s="4" t="s">
        <v>234</v>
      </c>
      <c r="W23" s="15" t="s">
        <v>268</v>
      </c>
      <c r="X23" s="15" t="s">
        <v>238</v>
      </c>
    </row>
    <row r="24" spans="1:24" ht="21.95" customHeight="1">
      <c r="A24" s="4" t="s">
        <v>59</v>
      </c>
      <c r="B24" s="8" t="s">
        <v>60</v>
      </c>
      <c r="C24" s="5">
        <v>3271</v>
      </c>
      <c r="D24" s="5">
        <v>372</v>
      </c>
      <c r="E24" s="5">
        <v>422</v>
      </c>
      <c r="F24" s="5">
        <v>8.8000000000000007</v>
      </c>
      <c r="G24" s="5">
        <v>7.8</v>
      </c>
      <c r="H24" s="6"/>
      <c r="I24" s="7">
        <v>8460</v>
      </c>
      <c r="J24" s="7">
        <v>30664223</v>
      </c>
      <c r="K24" s="9" t="s">
        <v>231</v>
      </c>
      <c r="L24" s="4" t="s">
        <v>232</v>
      </c>
      <c r="M24" s="4" t="s">
        <v>269</v>
      </c>
      <c r="N24" s="4" t="s">
        <v>269</v>
      </c>
      <c r="O24" s="11">
        <v>0.1305</v>
      </c>
      <c r="P24" s="4" t="s">
        <v>234</v>
      </c>
      <c r="Q24" s="4" t="s">
        <v>235</v>
      </c>
      <c r="R24" s="4" t="s">
        <v>270</v>
      </c>
      <c r="S24" s="13" t="s">
        <v>237</v>
      </c>
      <c r="T24" s="17">
        <v>269</v>
      </c>
      <c r="U24" s="17">
        <v>280</v>
      </c>
      <c r="V24" s="4" t="s">
        <v>234</v>
      </c>
      <c r="W24" s="15" t="s">
        <v>270</v>
      </c>
      <c r="X24" s="15" t="s">
        <v>238</v>
      </c>
    </row>
    <row r="25" spans="1:24" ht="21.95" customHeight="1">
      <c r="A25" s="4" t="s">
        <v>53</v>
      </c>
      <c r="B25" s="8" t="s">
        <v>54</v>
      </c>
      <c r="C25" s="5">
        <v>4083</v>
      </c>
      <c r="D25" s="5">
        <v>464</v>
      </c>
      <c r="E25" s="5">
        <v>1174</v>
      </c>
      <c r="F25" s="5">
        <v>8.8000000000000007</v>
      </c>
      <c r="G25" s="5">
        <v>3.5</v>
      </c>
      <c r="H25" s="6" t="s">
        <v>216</v>
      </c>
      <c r="I25" s="7">
        <v>30500</v>
      </c>
      <c r="J25" s="7">
        <v>10564126</v>
      </c>
      <c r="K25" s="9" t="s">
        <v>231</v>
      </c>
      <c r="L25" s="4" t="s">
        <v>232</v>
      </c>
      <c r="M25" s="4" t="s">
        <v>271</v>
      </c>
      <c r="N25" s="4" t="s">
        <v>271</v>
      </c>
      <c r="O25" s="11">
        <v>0.26150000000000001</v>
      </c>
      <c r="P25" s="4" t="s">
        <v>234</v>
      </c>
      <c r="Q25" s="4" t="s">
        <v>235</v>
      </c>
      <c r="R25" s="4" t="s">
        <v>272</v>
      </c>
      <c r="S25" s="13" t="s">
        <v>237</v>
      </c>
      <c r="T25" s="17">
        <v>293</v>
      </c>
      <c r="U25" s="17">
        <v>733.5</v>
      </c>
      <c r="V25" s="4" t="s">
        <v>234</v>
      </c>
      <c r="W25" s="15" t="s">
        <v>272</v>
      </c>
      <c r="X25" s="15" t="s">
        <v>238</v>
      </c>
    </row>
    <row r="26" spans="1:24" ht="60" customHeight="1">
      <c r="A26" s="4" t="s">
        <v>61</v>
      </c>
      <c r="B26" s="8" t="s">
        <v>62</v>
      </c>
      <c r="C26" s="5">
        <v>3773</v>
      </c>
      <c r="D26" s="5">
        <v>423</v>
      </c>
      <c r="E26" s="5">
        <v>276</v>
      </c>
      <c r="F26" s="5">
        <v>8.9</v>
      </c>
      <c r="G26" s="5">
        <v>13.7</v>
      </c>
      <c r="H26" s="6" t="s">
        <v>216</v>
      </c>
      <c r="I26" s="7">
        <v>15360</v>
      </c>
      <c r="J26" s="7">
        <v>20306182</v>
      </c>
      <c r="K26" s="9" t="s">
        <v>231</v>
      </c>
      <c r="L26" s="4" t="s">
        <v>232</v>
      </c>
      <c r="M26" s="4" t="s">
        <v>273</v>
      </c>
      <c r="N26" s="4" t="s">
        <v>273</v>
      </c>
      <c r="O26" s="11" t="s">
        <v>242</v>
      </c>
      <c r="P26" s="4" t="s">
        <v>234</v>
      </c>
      <c r="Q26" s="4" t="s">
        <v>235</v>
      </c>
      <c r="R26" s="4" t="s">
        <v>274</v>
      </c>
      <c r="S26" s="13" t="s">
        <v>250</v>
      </c>
      <c r="T26" s="17">
        <v>388</v>
      </c>
      <c r="U26" s="17">
        <v>195</v>
      </c>
      <c r="V26" s="4" t="s">
        <v>234</v>
      </c>
      <c r="W26" s="15" t="s">
        <v>274</v>
      </c>
      <c r="X26" s="15" t="s">
        <v>238</v>
      </c>
    </row>
    <row r="27" spans="1:24" ht="21.95" customHeight="1">
      <c r="A27" s="4" t="s">
        <v>55</v>
      </c>
      <c r="B27" s="8" t="s">
        <v>56</v>
      </c>
      <c r="C27" s="5">
        <v>11000</v>
      </c>
      <c r="D27" s="5">
        <v>1164</v>
      </c>
      <c r="E27" s="5">
        <v>1498</v>
      </c>
      <c r="F27" s="5">
        <v>9.1</v>
      </c>
      <c r="G27" s="5">
        <v>7.1</v>
      </c>
      <c r="H27" s="6"/>
      <c r="I27" s="7">
        <v>47700</v>
      </c>
      <c r="J27" s="7">
        <v>17000000</v>
      </c>
      <c r="K27" s="9" t="s">
        <v>231</v>
      </c>
      <c r="L27" s="4" t="s">
        <v>232</v>
      </c>
      <c r="M27" s="4" t="s">
        <v>275</v>
      </c>
      <c r="N27" s="4" t="s">
        <v>275</v>
      </c>
      <c r="O27" s="11">
        <v>0.16870000000000002</v>
      </c>
      <c r="P27" s="4" t="s">
        <v>234</v>
      </c>
      <c r="Q27" s="4" t="s">
        <v>235</v>
      </c>
      <c r="R27" s="4" t="s">
        <v>276</v>
      </c>
      <c r="S27" s="13" t="s">
        <v>237</v>
      </c>
      <c r="T27" s="17">
        <v>812.3</v>
      </c>
      <c r="U27" s="17">
        <v>1025.5</v>
      </c>
      <c r="V27" s="4" t="s">
        <v>234</v>
      </c>
      <c r="W27" s="15" t="s">
        <v>276</v>
      </c>
      <c r="X27" s="15" t="s">
        <v>238</v>
      </c>
    </row>
    <row r="28" spans="1:24" ht="21.95" customHeight="1">
      <c r="A28" s="4" t="s">
        <v>69</v>
      </c>
      <c r="B28" s="8" t="s">
        <v>70</v>
      </c>
      <c r="C28" s="5">
        <v>5125</v>
      </c>
      <c r="D28" s="5">
        <v>540</v>
      </c>
      <c r="E28" s="5">
        <v>650</v>
      </c>
      <c r="F28" s="5">
        <v>9.5</v>
      </c>
      <c r="G28" s="5">
        <v>7.9</v>
      </c>
      <c r="H28" s="6"/>
      <c r="I28" s="7">
        <v>26550</v>
      </c>
      <c r="J28" s="7">
        <v>16584962</v>
      </c>
      <c r="K28" s="9" t="s">
        <v>231</v>
      </c>
      <c r="L28" s="4" t="s">
        <v>232</v>
      </c>
      <c r="M28" s="4" t="s">
        <v>277</v>
      </c>
      <c r="N28" s="4" t="s">
        <v>277</v>
      </c>
      <c r="O28" s="11">
        <v>0.40450000000000003</v>
      </c>
      <c r="P28" s="4" t="s">
        <v>234</v>
      </c>
      <c r="Q28" s="4" t="s">
        <v>235</v>
      </c>
      <c r="R28" s="4" t="s">
        <v>278</v>
      </c>
      <c r="S28" s="13" t="s">
        <v>237</v>
      </c>
      <c r="T28" s="17">
        <v>330</v>
      </c>
      <c r="U28" s="17">
        <v>390</v>
      </c>
      <c r="V28" s="4" t="s">
        <v>234</v>
      </c>
      <c r="W28" s="15" t="s">
        <v>278</v>
      </c>
      <c r="X28" s="15" t="s">
        <v>238</v>
      </c>
    </row>
    <row r="29" spans="1:24" ht="21.95" customHeight="1">
      <c r="A29" s="4" t="s">
        <v>71</v>
      </c>
      <c r="B29" s="8" t="s">
        <v>72</v>
      </c>
      <c r="C29" s="5">
        <v>5798</v>
      </c>
      <c r="D29" s="5">
        <v>610</v>
      </c>
      <c r="E29" s="5">
        <v>770</v>
      </c>
      <c r="F29" s="5">
        <v>9.5</v>
      </c>
      <c r="G29" s="5">
        <v>7.5</v>
      </c>
      <c r="H29" s="6"/>
      <c r="I29" s="7">
        <v>31600</v>
      </c>
      <c r="J29" s="7">
        <v>16264300</v>
      </c>
      <c r="K29" s="9" t="s">
        <v>231</v>
      </c>
      <c r="L29" s="4" t="s">
        <v>232</v>
      </c>
      <c r="M29" s="4" t="s">
        <v>279</v>
      </c>
      <c r="N29" s="4" t="s">
        <v>279</v>
      </c>
      <c r="O29" s="11">
        <v>5.1200000000000002E-2</v>
      </c>
      <c r="P29" s="4" t="s">
        <v>234</v>
      </c>
      <c r="Q29" s="4" t="s">
        <v>235</v>
      </c>
      <c r="R29" s="4" t="s">
        <v>280</v>
      </c>
      <c r="S29" s="13" t="s">
        <v>237</v>
      </c>
      <c r="T29" s="17">
        <v>610</v>
      </c>
      <c r="U29" s="17">
        <v>781</v>
      </c>
      <c r="V29" s="4" t="s">
        <v>234</v>
      </c>
      <c r="W29" s="15" t="s">
        <v>280</v>
      </c>
      <c r="X29" s="15" t="s">
        <v>238</v>
      </c>
    </row>
    <row r="30" spans="1:24" ht="21.95" customHeight="1">
      <c r="A30" s="4" t="s">
        <v>65</v>
      </c>
      <c r="B30" s="8" t="s">
        <v>66</v>
      </c>
      <c r="C30" s="5">
        <v>8517</v>
      </c>
      <c r="D30" s="5">
        <v>887</v>
      </c>
      <c r="E30" s="5">
        <v>1504</v>
      </c>
      <c r="F30" s="5">
        <v>9.6</v>
      </c>
      <c r="G30" s="5">
        <v>5.7</v>
      </c>
      <c r="H30" s="6" t="s">
        <v>216</v>
      </c>
      <c r="I30" s="7">
        <v>26250</v>
      </c>
      <c r="J30" s="7">
        <v>26288000</v>
      </c>
      <c r="K30" s="9" t="s">
        <v>231</v>
      </c>
      <c r="L30" s="4" t="s">
        <v>232</v>
      </c>
      <c r="M30" s="4" t="s">
        <v>281</v>
      </c>
      <c r="N30" s="4" t="s">
        <v>281</v>
      </c>
      <c r="O30" s="11">
        <v>0.1467</v>
      </c>
      <c r="P30" s="4" t="s">
        <v>234</v>
      </c>
      <c r="Q30" s="4" t="s">
        <v>235</v>
      </c>
      <c r="R30" s="4" t="s">
        <v>282</v>
      </c>
      <c r="S30" s="13" t="s">
        <v>237</v>
      </c>
      <c r="T30" s="17">
        <v>716.67</v>
      </c>
      <c r="U30" s="17">
        <v>1166.33</v>
      </c>
      <c r="V30" s="4" t="s">
        <v>234</v>
      </c>
      <c r="W30" s="15" t="s">
        <v>282</v>
      </c>
      <c r="X30" s="15" t="s">
        <v>238</v>
      </c>
    </row>
    <row r="31" spans="1:24" ht="21.95" customHeight="1">
      <c r="A31" s="4" t="s">
        <v>67</v>
      </c>
      <c r="B31" s="8" t="s">
        <v>68</v>
      </c>
      <c r="C31" s="5">
        <v>7056</v>
      </c>
      <c r="D31" s="5">
        <v>703</v>
      </c>
      <c r="E31" s="5">
        <v>800</v>
      </c>
      <c r="F31" s="5">
        <v>10</v>
      </c>
      <c r="G31" s="5">
        <v>8.8000000000000007</v>
      </c>
      <c r="H31" s="6"/>
      <c r="I31" s="7">
        <v>61600</v>
      </c>
      <c r="J31" s="7">
        <v>9000000</v>
      </c>
      <c r="K31" s="9" t="s">
        <v>231</v>
      </c>
      <c r="L31" s="4" t="s">
        <v>232</v>
      </c>
      <c r="M31" s="4" t="s">
        <v>283</v>
      </c>
      <c r="N31" s="4" t="s">
        <v>283</v>
      </c>
      <c r="O31" s="11">
        <v>0.1537</v>
      </c>
      <c r="P31" s="4" t="s">
        <v>234</v>
      </c>
      <c r="Q31" s="4" t="s">
        <v>235</v>
      </c>
      <c r="R31" s="4" t="s">
        <v>284</v>
      </c>
      <c r="S31" s="13" t="s">
        <v>237</v>
      </c>
      <c r="T31" s="17">
        <v>787</v>
      </c>
      <c r="U31" s="17">
        <v>746</v>
      </c>
      <c r="V31" s="4" t="s">
        <v>234</v>
      </c>
      <c r="W31" s="15" t="s">
        <v>284</v>
      </c>
      <c r="X31" s="15" t="s">
        <v>238</v>
      </c>
    </row>
    <row r="32" spans="1:24" ht="60" customHeight="1">
      <c r="A32" s="4" t="s">
        <v>63</v>
      </c>
      <c r="B32" s="8" t="s">
        <v>64</v>
      </c>
      <c r="C32" s="5">
        <v>4493</v>
      </c>
      <c r="D32" s="5">
        <v>440</v>
      </c>
      <c r="E32" s="5">
        <v>516</v>
      </c>
      <c r="F32" s="5">
        <v>10.199999999999999</v>
      </c>
      <c r="G32" s="5">
        <v>8.6999999999999993</v>
      </c>
      <c r="H32" s="6"/>
      <c r="I32" s="7">
        <v>14870</v>
      </c>
      <c r="J32" s="7">
        <v>22946681</v>
      </c>
      <c r="K32" s="9" t="s">
        <v>231</v>
      </c>
      <c r="L32" s="4" t="s">
        <v>232</v>
      </c>
      <c r="M32" s="4" t="s">
        <v>285</v>
      </c>
      <c r="N32" s="4" t="s">
        <v>285</v>
      </c>
      <c r="O32" s="11" t="s">
        <v>242</v>
      </c>
      <c r="P32" s="4" t="s">
        <v>234</v>
      </c>
      <c r="Q32" s="4" t="s">
        <v>235</v>
      </c>
      <c r="R32" s="4" t="s">
        <v>286</v>
      </c>
      <c r="S32" s="13" t="s">
        <v>250</v>
      </c>
      <c r="T32" s="17">
        <v>293.5</v>
      </c>
      <c r="U32" s="17">
        <v>345.74</v>
      </c>
      <c r="V32" s="4" t="s">
        <v>234</v>
      </c>
      <c r="W32" s="15" t="s">
        <v>286</v>
      </c>
      <c r="X32" s="15" t="s">
        <v>238</v>
      </c>
    </row>
    <row r="33" spans="1:24" ht="21.95" customHeight="1">
      <c r="A33" s="4" t="s">
        <v>79</v>
      </c>
      <c r="B33" s="8" t="s">
        <v>80</v>
      </c>
      <c r="C33" s="5">
        <v>3215</v>
      </c>
      <c r="D33" s="5">
        <v>300</v>
      </c>
      <c r="E33" s="5">
        <v>326</v>
      </c>
      <c r="F33" s="5">
        <v>10.7</v>
      </c>
      <c r="G33" s="5">
        <v>9.9</v>
      </c>
      <c r="H33" s="6"/>
      <c r="I33" s="7">
        <v>12490</v>
      </c>
      <c r="J33" s="7">
        <v>21888280</v>
      </c>
      <c r="K33" s="9" t="s">
        <v>231</v>
      </c>
      <c r="L33" s="4" t="s">
        <v>232</v>
      </c>
      <c r="M33" s="4" t="s">
        <v>287</v>
      </c>
      <c r="N33" s="4" t="s">
        <v>287</v>
      </c>
      <c r="O33" s="11">
        <v>0.1865</v>
      </c>
      <c r="P33" s="4" t="s">
        <v>288</v>
      </c>
      <c r="Q33" s="4" t="s">
        <v>235</v>
      </c>
      <c r="R33" s="4" t="s">
        <v>289</v>
      </c>
      <c r="S33" s="13" t="s">
        <v>237</v>
      </c>
      <c r="T33" s="17">
        <v>238.5</v>
      </c>
      <c r="U33" s="17">
        <v>242.5</v>
      </c>
      <c r="V33" s="4" t="s">
        <v>288</v>
      </c>
      <c r="W33" s="15" t="s">
        <v>289</v>
      </c>
      <c r="X33" s="15" t="s">
        <v>238</v>
      </c>
    </row>
    <row r="34" spans="1:24" ht="60" customHeight="1">
      <c r="A34" s="4" t="s">
        <v>81</v>
      </c>
      <c r="B34" s="8" t="s">
        <v>82</v>
      </c>
      <c r="C34" s="5">
        <v>1259</v>
      </c>
      <c r="D34" s="5">
        <v>116</v>
      </c>
      <c r="E34" s="5">
        <v>143</v>
      </c>
      <c r="F34" s="5">
        <v>10.9</v>
      </c>
      <c r="G34" s="5">
        <v>8.8000000000000007</v>
      </c>
      <c r="H34" s="6"/>
      <c r="I34" s="7">
        <v>11930</v>
      </c>
      <c r="J34" s="7">
        <v>8960259</v>
      </c>
      <c r="K34" s="9" t="s">
        <v>231</v>
      </c>
      <c r="L34" s="4" t="s">
        <v>232</v>
      </c>
      <c r="M34" s="4" t="s">
        <v>290</v>
      </c>
      <c r="N34" s="4" t="s">
        <v>290</v>
      </c>
      <c r="O34" s="11" t="s">
        <v>242</v>
      </c>
      <c r="P34" s="4" t="s">
        <v>234</v>
      </c>
      <c r="Q34" s="4" t="s">
        <v>235</v>
      </c>
      <c r="R34" s="4" t="s">
        <v>291</v>
      </c>
      <c r="S34" s="13" t="s">
        <v>250</v>
      </c>
      <c r="T34" s="17">
        <v>28</v>
      </c>
      <c r="U34" s="17">
        <v>60</v>
      </c>
      <c r="V34" s="4" t="s">
        <v>234</v>
      </c>
      <c r="W34" s="15" t="s">
        <v>291</v>
      </c>
      <c r="X34" s="15" t="s">
        <v>238</v>
      </c>
    </row>
    <row r="35" spans="1:24" ht="21.95" customHeight="1">
      <c r="A35" s="4" t="s">
        <v>73</v>
      </c>
      <c r="B35" s="8" t="s">
        <v>74</v>
      </c>
      <c r="C35" s="5">
        <v>57000</v>
      </c>
      <c r="D35" s="5">
        <v>4930</v>
      </c>
      <c r="E35" s="5">
        <v>5525</v>
      </c>
      <c r="F35" s="5">
        <v>11.6</v>
      </c>
      <c r="G35" s="5">
        <v>10.4</v>
      </c>
      <c r="H35" s="6"/>
      <c r="I35" s="7">
        <v>100000</v>
      </c>
      <c r="J35" s="7">
        <v>43504588</v>
      </c>
      <c r="K35" s="9" t="s">
        <v>231</v>
      </c>
      <c r="L35" s="4" t="s">
        <v>232</v>
      </c>
      <c r="M35" s="4" t="s">
        <v>292</v>
      </c>
      <c r="N35" s="4" t="s">
        <v>292</v>
      </c>
      <c r="O35" s="11">
        <v>0.1789</v>
      </c>
      <c r="P35" s="4" t="s">
        <v>234</v>
      </c>
      <c r="Q35" s="4" t="s">
        <v>235</v>
      </c>
      <c r="R35" s="4" t="s">
        <v>293</v>
      </c>
      <c r="S35" s="13" t="s">
        <v>237</v>
      </c>
      <c r="T35" s="17">
        <v>4010</v>
      </c>
      <c r="U35" s="17">
        <v>4165</v>
      </c>
      <c r="V35" s="4" t="s">
        <v>234</v>
      </c>
      <c r="W35" s="15" t="s">
        <v>293</v>
      </c>
      <c r="X35" s="15" t="s">
        <v>238</v>
      </c>
    </row>
    <row r="36" spans="1:24" ht="21.95" customHeight="1">
      <c r="A36" s="4" t="s">
        <v>83</v>
      </c>
      <c r="B36" s="8" t="s">
        <v>84</v>
      </c>
      <c r="C36" s="5">
        <v>6021</v>
      </c>
      <c r="D36" s="5">
        <v>495</v>
      </c>
      <c r="E36" s="5">
        <v>820</v>
      </c>
      <c r="F36" s="5">
        <v>12.2</v>
      </c>
      <c r="G36" s="5">
        <v>7.3</v>
      </c>
      <c r="H36" s="6" t="s">
        <v>216</v>
      </c>
      <c r="I36" s="7">
        <v>10440</v>
      </c>
      <c r="J36" s="7">
        <v>43692624</v>
      </c>
      <c r="K36" s="9" t="s">
        <v>231</v>
      </c>
      <c r="L36" s="4" t="s">
        <v>232</v>
      </c>
      <c r="M36" s="4" t="s">
        <v>294</v>
      </c>
      <c r="N36" s="4" t="s">
        <v>294</v>
      </c>
      <c r="O36" s="11">
        <v>0.13900000000000001</v>
      </c>
      <c r="P36" s="4" t="s">
        <v>234</v>
      </c>
      <c r="Q36" s="4" t="s">
        <v>235</v>
      </c>
      <c r="R36" s="4" t="s">
        <v>295</v>
      </c>
      <c r="S36" s="13" t="s">
        <v>237</v>
      </c>
      <c r="T36" s="17">
        <v>439</v>
      </c>
      <c r="U36" s="17">
        <v>691.67</v>
      </c>
      <c r="V36" s="4" t="s">
        <v>234</v>
      </c>
      <c r="W36" s="15" t="s">
        <v>295</v>
      </c>
      <c r="X36" s="15" t="s">
        <v>238</v>
      </c>
    </row>
    <row r="37" spans="1:24" ht="60" customHeight="1">
      <c r="A37" s="4" t="s">
        <v>75</v>
      </c>
      <c r="B37" s="8" t="s">
        <v>76</v>
      </c>
      <c r="C37" s="5">
        <v>860</v>
      </c>
      <c r="D37" s="5">
        <v>70</v>
      </c>
      <c r="E37" s="5">
        <v>78</v>
      </c>
      <c r="F37" s="5">
        <v>12.3</v>
      </c>
      <c r="G37" s="5">
        <v>11</v>
      </c>
      <c r="H37" s="6"/>
      <c r="I37" s="7">
        <v>3110</v>
      </c>
      <c r="J37" s="7">
        <v>20000000</v>
      </c>
      <c r="K37" s="9" t="s">
        <v>231</v>
      </c>
      <c r="L37" s="4" t="s">
        <v>232</v>
      </c>
      <c r="M37" s="4" t="s">
        <v>296</v>
      </c>
      <c r="N37" s="4" t="s">
        <v>296</v>
      </c>
      <c r="O37" s="11" t="s">
        <v>242</v>
      </c>
      <c r="P37" s="4" t="s">
        <v>288</v>
      </c>
      <c r="Q37" s="4" t="s">
        <v>235</v>
      </c>
      <c r="R37" s="4" t="s">
        <v>297</v>
      </c>
      <c r="S37" s="13" t="s">
        <v>250</v>
      </c>
      <c r="T37" s="17">
        <v>11</v>
      </c>
      <c r="U37" s="17">
        <v>22</v>
      </c>
      <c r="V37" s="4" t="s">
        <v>288</v>
      </c>
      <c r="W37" s="15" t="s">
        <v>297</v>
      </c>
      <c r="X37" s="15" t="s">
        <v>238</v>
      </c>
    </row>
    <row r="38" spans="1:24" ht="21.95" customHeight="1">
      <c r="A38" s="4" t="s">
        <v>85</v>
      </c>
      <c r="B38" s="8" t="s">
        <v>86</v>
      </c>
      <c r="C38" s="5">
        <v>32000</v>
      </c>
      <c r="D38" s="5">
        <v>2581</v>
      </c>
      <c r="E38" s="5">
        <v>4299</v>
      </c>
      <c r="F38" s="5">
        <v>12.5</v>
      </c>
      <c r="G38" s="5">
        <v>7.5</v>
      </c>
      <c r="H38" s="6" t="s">
        <v>216</v>
      </c>
      <c r="I38" s="7">
        <v>37100</v>
      </c>
      <c r="J38" s="7">
        <v>66490869</v>
      </c>
      <c r="K38" s="9" t="s">
        <v>231</v>
      </c>
      <c r="L38" s="4" t="s">
        <v>232</v>
      </c>
      <c r="M38" s="4" t="s">
        <v>298</v>
      </c>
      <c r="N38" s="4" t="s">
        <v>298</v>
      </c>
      <c r="O38" s="11">
        <v>0.32380000000000003</v>
      </c>
      <c r="P38" s="4" t="s">
        <v>234</v>
      </c>
      <c r="Q38" s="4" t="s">
        <v>235</v>
      </c>
      <c r="R38" s="4" t="s">
        <v>299</v>
      </c>
      <c r="S38" s="13" t="s">
        <v>237</v>
      </c>
      <c r="T38" s="17">
        <v>2379.5</v>
      </c>
      <c r="U38" s="17">
        <v>4170.5</v>
      </c>
      <c r="V38" s="4" t="s">
        <v>234</v>
      </c>
      <c r="W38" s="15" t="s">
        <v>299</v>
      </c>
      <c r="X38" s="15" t="s">
        <v>238</v>
      </c>
    </row>
    <row r="39" spans="1:24" ht="21.95" customHeight="1">
      <c r="A39" s="4" t="s">
        <v>87</v>
      </c>
      <c r="B39" s="8" t="s">
        <v>88</v>
      </c>
      <c r="C39" s="5">
        <v>13000</v>
      </c>
      <c r="D39" s="5">
        <v>1008</v>
      </c>
      <c r="E39" s="5">
        <v>1316</v>
      </c>
      <c r="F39" s="5">
        <v>12.6</v>
      </c>
      <c r="G39" s="5">
        <v>9.6</v>
      </c>
      <c r="H39" s="6"/>
      <c r="I39" s="7">
        <v>50300</v>
      </c>
      <c r="J39" s="7">
        <v>19777674</v>
      </c>
      <c r="K39" s="9" t="s">
        <v>231</v>
      </c>
      <c r="L39" s="4" t="s">
        <v>232</v>
      </c>
      <c r="M39" s="4" t="s">
        <v>300</v>
      </c>
      <c r="N39" s="4" t="s">
        <v>300</v>
      </c>
      <c r="O39" s="11">
        <v>0.15140000000000001</v>
      </c>
      <c r="P39" s="4" t="s">
        <v>234</v>
      </c>
      <c r="Q39" s="4" t="s">
        <v>235</v>
      </c>
      <c r="R39" s="4" t="s">
        <v>301</v>
      </c>
      <c r="S39" s="13" t="s">
        <v>237</v>
      </c>
      <c r="T39" s="17">
        <v>736.5</v>
      </c>
      <c r="U39" s="17">
        <v>1000.2</v>
      </c>
      <c r="V39" s="4" t="s">
        <v>234</v>
      </c>
      <c r="W39" s="15" t="s">
        <v>301</v>
      </c>
      <c r="X39" s="15" t="s">
        <v>238</v>
      </c>
    </row>
    <row r="40" spans="1:24" ht="21.95" customHeight="1">
      <c r="A40" s="4" t="s">
        <v>77</v>
      </c>
      <c r="B40" s="8" t="s">
        <v>78</v>
      </c>
      <c r="C40" s="5">
        <v>3323</v>
      </c>
      <c r="D40" s="5">
        <v>261</v>
      </c>
      <c r="E40" s="5">
        <v>336</v>
      </c>
      <c r="F40" s="5">
        <v>12.7</v>
      </c>
      <c r="G40" s="5">
        <v>9.9</v>
      </c>
      <c r="H40" s="6"/>
      <c r="I40" s="7">
        <v>10530</v>
      </c>
      <c r="J40" s="7">
        <v>22392557</v>
      </c>
      <c r="K40" s="9" t="s">
        <v>231</v>
      </c>
      <c r="L40" s="4" t="s">
        <v>232</v>
      </c>
      <c r="M40" s="4" t="s">
        <v>302</v>
      </c>
      <c r="N40" s="4" t="s">
        <v>302</v>
      </c>
      <c r="O40" s="11">
        <v>0.50729999999999997</v>
      </c>
      <c r="P40" s="4" t="s">
        <v>234</v>
      </c>
      <c r="Q40" s="4" t="s">
        <v>235</v>
      </c>
      <c r="R40" s="4" t="s">
        <v>303</v>
      </c>
      <c r="S40" s="13" t="s">
        <v>237</v>
      </c>
      <c r="T40" s="17">
        <v>146</v>
      </c>
      <c r="U40" s="17">
        <v>203</v>
      </c>
      <c r="V40" s="4" t="s">
        <v>234</v>
      </c>
      <c r="W40" s="15" t="s">
        <v>303</v>
      </c>
      <c r="X40" s="15" t="s">
        <v>238</v>
      </c>
    </row>
    <row r="41" spans="1:24" ht="21.95" customHeight="1">
      <c r="A41" s="4" t="s">
        <v>91</v>
      </c>
      <c r="B41" s="8" t="s">
        <v>92</v>
      </c>
      <c r="C41" s="5">
        <v>2378</v>
      </c>
      <c r="D41" s="5">
        <v>186</v>
      </c>
      <c r="E41" s="5">
        <v>214</v>
      </c>
      <c r="F41" s="5">
        <v>12.8</v>
      </c>
      <c r="G41" s="5">
        <v>11.1</v>
      </c>
      <c r="H41" s="6"/>
      <c r="I41" s="7">
        <v>9390</v>
      </c>
      <c r="J41" s="7">
        <v>20221090</v>
      </c>
      <c r="K41" s="9" t="s">
        <v>231</v>
      </c>
      <c r="L41" s="4" t="s">
        <v>232</v>
      </c>
      <c r="M41" s="4" t="s">
        <v>304</v>
      </c>
      <c r="N41" s="4" t="s">
        <v>304</v>
      </c>
      <c r="O41" s="11">
        <v>0.3024</v>
      </c>
      <c r="P41" s="4" t="s">
        <v>288</v>
      </c>
      <c r="Q41" s="4" t="s">
        <v>235</v>
      </c>
      <c r="R41" s="4" t="s">
        <v>305</v>
      </c>
      <c r="S41" s="13" t="s">
        <v>237</v>
      </c>
      <c r="T41" s="17">
        <v>80</v>
      </c>
      <c r="U41" s="17">
        <v>95</v>
      </c>
      <c r="V41" s="4" t="s">
        <v>288</v>
      </c>
      <c r="W41" s="15" t="s">
        <v>305</v>
      </c>
      <c r="X41" s="15" t="s">
        <v>238</v>
      </c>
    </row>
    <row r="42" spans="1:24" ht="21.95" customHeight="1">
      <c r="A42" s="4" t="s">
        <v>118</v>
      </c>
      <c r="B42" s="8" t="s">
        <v>119</v>
      </c>
      <c r="C42" s="5">
        <v>2047</v>
      </c>
      <c r="D42" s="5">
        <v>160</v>
      </c>
      <c r="E42" s="5">
        <v>215</v>
      </c>
      <c r="F42" s="5">
        <v>12.8</v>
      </c>
      <c r="G42" s="5">
        <v>9.5</v>
      </c>
      <c r="H42" s="6"/>
      <c r="I42" s="7">
        <v>16630</v>
      </c>
      <c r="J42" s="7">
        <v>12289301</v>
      </c>
      <c r="K42" s="9" t="s">
        <v>231</v>
      </c>
      <c r="L42" s="4" t="s">
        <v>232</v>
      </c>
      <c r="M42" s="4" t="s">
        <v>306</v>
      </c>
      <c r="N42" s="4" t="s">
        <v>306</v>
      </c>
      <c r="O42" s="11">
        <v>0.16239999999999999</v>
      </c>
      <c r="P42" s="4" t="s">
        <v>234</v>
      </c>
      <c r="Q42" s="4" t="s">
        <v>235</v>
      </c>
      <c r="R42" s="4" t="s">
        <v>307</v>
      </c>
      <c r="S42" s="13" t="s">
        <v>237</v>
      </c>
      <c r="T42" s="17">
        <v>90</v>
      </c>
      <c r="U42" s="17">
        <v>122</v>
      </c>
      <c r="V42" s="4" t="s">
        <v>234</v>
      </c>
      <c r="W42" s="15" t="s">
        <v>307</v>
      </c>
      <c r="X42" s="15" t="s">
        <v>238</v>
      </c>
    </row>
    <row r="43" spans="1:24" ht="21.95" customHeight="1">
      <c r="A43" s="4" t="s">
        <v>103</v>
      </c>
      <c r="B43" s="8" t="s">
        <v>104</v>
      </c>
      <c r="C43" s="5">
        <v>5916</v>
      </c>
      <c r="D43" s="5">
        <v>456</v>
      </c>
      <c r="E43" s="5">
        <v>558</v>
      </c>
      <c r="F43" s="5">
        <v>13</v>
      </c>
      <c r="G43" s="5">
        <v>10.6</v>
      </c>
      <c r="H43" s="6"/>
      <c r="I43" s="7">
        <v>23850</v>
      </c>
      <c r="J43" s="7">
        <v>21090955</v>
      </c>
      <c r="K43" s="9" t="s">
        <v>231</v>
      </c>
      <c r="L43" s="4" t="s">
        <v>232</v>
      </c>
      <c r="M43" s="4" t="s">
        <v>308</v>
      </c>
      <c r="N43" s="4" t="s">
        <v>308</v>
      </c>
      <c r="O43" s="11">
        <v>0.44540000000000002</v>
      </c>
      <c r="P43" s="4" t="s">
        <v>234</v>
      </c>
      <c r="Q43" s="4" t="s">
        <v>235</v>
      </c>
      <c r="R43" s="4" t="s">
        <v>309</v>
      </c>
      <c r="S43" s="13" t="s">
        <v>237</v>
      </c>
      <c r="T43" s="17">
        <v>248</v>
      </c>
      <c r="U43" s="17">
        <v>296.5</v>
      </c>
      <c r="V43" s="4" t="s">
        <v>234</v>
      </c>
      <c r="W43" s="15" t="s">
        <v>309</v>
      </c>
      <c r="X43" s="15" t="s">
        <v>238</v>
      </c>
    </row>
    <row r="44" spans="1:24" ht="21.95" customHeight="1">
      <c r="A44" s="4" t="s">
        <v>93</v>
      </c>
      <c r="B44" s="8" t="s">
        <v>94</v>
      </c>
      <c r="C44" s="5">
        <v>10000</v>
      </c>
      <c r="D44" s="5">
        <v>775</v>
      </c>
      <c r="E44" s="5">
        <v>946</v>
      </c>
      <c r="F44" s="5">
        <v>13.1</v>
      </c>
      <c r="G44" s="5">
        <v>10.8</v>
      </c>
      <c r="H44" s="6"/>
      <c r="I44" s="7">
        <v>43600</v>
      </c>
      <c r="J44" s="7">
        <v>18430000</v>
      </c>
      <c r="K44" s="9" t="s">
        <v>231</v>
      </c>
      <c r="L44" s="4" t="s">
        <v>232</v>
      </c>
      <c r="M44" s="4" t="s">
        <v>310</v>
      </c>
      <c r="N44" s="4" t="s">
        <v>310</v>
      </c>
      <c r="O44" s="11">
        <v>0.20190000000000002</v>
      </c>
      <c r="P44" s="4" t="s">
        <v>234</v>
      </c>
      <c r="Q44" s="4" t="s">
        <v>235</v>
      </c>
      <c r="R44" s="4" t="s">
        <v>311</v>
      </c>
      <c r="S44" s="13" t="s">
        <v>237</v>
      </c>
      <c r="T44" s="17">
        <v>627.33000000000004</v>
      </c>
      <c r="U44" s="17">
        <v>759</v>
      </c>
      <c r="V44" s="4" t="s">
        <v>234</v>
      </c>
      <c r="W44" s="15" t="s">
        <v>311</v>
      </c>
      <c r="X44" s="15" t="s">
        <v>238</v>
      </c>
    </row>
    <row r="45" spans="1:24" ht="21.95" customHeight="1">
      <c r="A45" s="4" t="s">
        <v>107</v>
      </c>
      <c r="B45" s="8" t="s">
        <v>108</v>
      </c>
      <c r="C45" s="5">
        <v>1447</v>
      </c>
      <c r="D45" s="5">
        <v>107</v>
      </c>
      <c r="E45" s="5">
        <v>162</v>
      </c>
      <c r="F45" s="5">
        <v>13.5</v>
      </c>
      <c r="G45" s="5">
        <v>8.9</v>
      </c>
      <c r="H45" s="6"/>
      <c r="I45" s="7">
        <v>9540</v>
      </c>
      <c r="J45" s="7">
        <v>12797923</v>
      </c>
      <c r="K45" s="9" t="s">
        <v>231</v>
      </c>
      <c r="L45" s="4" t="s">
        <v>232</v>
      </c>
      <c r="M45" s="4" t="s">
        <v>312</v>
      </c>
      <c r="N45" s="4" t="s">
        <v>312</v>
      </c>
      <c r="O45" s="11">
        <v>0.12140000000000001</v>
      </c>
      <c r="P45" s="4" t="s">
        <v>234</v>
      </c>
      <c r="Q45" s="4" t="s">
        <v>235</v>
      </c>
      <c r="R45" s="4" t="s">
        <v>313</v>
      </c>
      <c r="S45" s="13" t="s">
        <v>237</v>
      </c>
      <c r="T45" s="17">
        <v>43</v>
      </c>
      <c r="U45" s="17">
        <v>93</v>
      </c>
      <c r="V45" s="4" t="s">
        <v>234</v>
      </c>
      <c r="W45" s="15" t="s">
        <v>313</v>
      </c>
      <c r="X45" s="15" t="s">
        <v>238</v>
      </c>
    </row>
    <row r="46" spans="1:24" ht="21.95" customHeight="1">
      <c r="A46" s="4" t="s">
        <v>95</v>
      </c>
      <c r="B46" s="8" t="s">
        <v>96</v>
      </c>
      <c r="C46" s="5">
        <v>6712</v>
      </c>
      <c r="D46" s="5">
        <v>496</v>
      </c>
      <c r="E46" s="5">
        <v>656</v>
      </c>
      <c r="F46" s="5">
        <v>13.5</v>
      </c>
      <c r="G46" s="5">
        <v>10.199999999999999</v>
      </c>
      <c r="H46" s="6"/>
      <c r="I46" s="7">
        <v>24150</v>
      </c>
      <c r="J46" s="7">
        <v>21651325</v>
      </c>
      <c r="K46" s="9" t="s">
        <v>231</v>
      </c>
      <c r="L46" s="4" t="s">
        <v>232</v>
      </c>
      <c r="M46" s="4" t="s">
        <v>314</v>
      </c>
      <c r="N46" s="4" t="s">
        <v>314</v>
      </c>
      <c r="O46" s="11">
        <v>0.28339999999999999</v>
      </c>
      <c r="P46" s="4" t="s">
        <v>234</v>
      </c>
      <c r="Q46" s="4" t="s">
        <v>235</v>
      </c>
      <c r="R46" s="4" t="s">
        <v>315</v>
      </c>
      <c r="S46" s="13" t="s">
        <v>237</v>
      </c>
      <c r="T46" s="17">
        <v>182</v>
      </c>
      <c r="U46" s="17">
        <v>254</v>
      </c>
      <c r="V46" s="4" t="s">
        <v>234</v>
      </c>
      <c r="W46" s="15" t="s">
        <v>315</v>
      </c>
      <c r="X46" s="15" t="s">
        <v>238</v>
      </c>
    </row>
    <row r="47" spans="1:24" ht="21.95" customHeight="1">
      <c r="A47" s="4" t="s">
        <v>89</v>
      </c>
      <c r="B47" s="8" t="s">
        <v>90</v>
      </c>
      <c r="C47" s="5">
        <v>16000</v>
      </c>
      <c r="D47" s="5">
        <v>1187</v>
      </c>
      <c r="E47" s="5">
        <v>1358</v>
      </c>
      <c r="F47" s="5">
        <v>13.9</v>
      </c>
      <c r="G47" s="5">
        <v>12.1</v>
      </c>
      <c r="H47" s="6"/>
      <c r="I47" s="7">
        <v>45050</v>
      </c>
      <c r="J47" s="7">
        <v>26556065</v>
      </c>
      <c r="K47" s="9" t="s">
        <v>231</v>
      </c>
      <c r="L47" s="4" t="s">
        <v>232</v>
      </c>
      <c r="M47" s="4" t="s">
        <v>316</v>
      </c>
      <c r="N47" s="4" t="s">
        <v>316</v>
      </c>
      <c r="O47" s="11">
        <v>0.39600000000000002</v>
      </c>
      <c r="P47" s="4" t="s">
        <v>234</v>
      </c>
      <c r="Q47" s="4" t="s">
        <v>235</v>
      </c>
      <c r="R47" s="4" t="s">
        <v>317</v>
      </c>
      <c r="S47" s="13" t="s">
        <v>237</v>
      </c>
      <c r="T47" s="17">
        <v>810</v>
      </c>
      <c r="U47" s="17">
        <v>926</v>
      </c>
      <c r="V47" s="4" t="s">
        <v>234</v>
      </c>
      <c r="W47" s="15" t="s">
        <v>317</v>
      </c>
      <c r="X47" s="15" t="s">
        <v>238</v>
      </c>
    </row>
    <row r="48" spans="1:24" ht="21.95" customHeight="1">
      <c r="A48" s="4" t="s">
        <v>116</v>
      </c>
      <c r="B48" s="8" t="s">
        <v>117</v>
      </c>
      <c r="C48" s="5">
        <v>28000</v>
      </c>
      <c r="D48" s="5">
        <v>2038</v>
      </c>
      <c r="E48" s="5">
        <v>2276</v>
      </c>
      <c r="F48" s="5">
        <v>14</v>
      </c>
      <c r="G48" s="5">
        <v>12.5</v>
      </c>
      <c r="H48" s="6"/>
      <c r="I48" s="7">
        <v>231500</v>
      </c>
      <c r="J48" s="7">
        <v>10794036</v>
      </c>
      <c r="K48" s="9" t="s">
        <v>231</v>
      </c>
      <c r="L48" s="4" t="s">
        <v>232</v>
      </c>
      <c r="M48" s="4" t="s">
        <v>318</v>
      </c>
      <c r="N48" s="4" t="s">
        <v>318</v>
      </c>
      <c r="O48" s="11">
        <v>0.15759999999999999</v>
      </c>
      <c r="P48" s="4" t="s">
        <v>234</v>
      </c>
      <c r="Q48" s="4" t="s">
        <v>235</v>
      </c>
      <c r="R48" s="4" t="s">
        <v>319</v>
      </c>
      <c r="S48" s="13" t="s">
        <v>237</v>
      </c>
      <c r="T48" s="17">
        <v>1681</v>
      </c>
      <c r="U48" s="17">
        <v>1789.33</v>
      </c>
      <c r="V48" s="4" t="s">
        <v>234</v>
      </c>
      <c r="W48" s="15" t="s">
        <v>319</v>
      </c>
      <c r="X48" s="15" t="s">
        <v>238</v>
      </c>
    </row>
    <row r="49" spans="1:24" ht="21.95" customHeight="1">
      <c r="A49" s="4" t="s">
        <v>99</v>
      </c>
      <c r="B49" s="8" t="s">
        <v>100</v>
      </c>
      <c r="C49" s="5">
        <v>3514</v>
      </c>
      <c r="D49" s="5">
        <v>251</v>
      </c>
      <c r="E49" s="5">
        <v>307</v>
      </c>
      <c r="F49" s="5">
        <v>14</v>
      </c>
      <c r="G49" s="5">
        <v>11.4</v>
      </c>
      <c r="H49" s="6"/>
      <c r="I49" s="7">
        <v>20300</v>
      </c>
      <c r="J49" s="7">
        <v>13462007</v>
      </c>
      <c r="K49" s="9" t="s">
        <v>231</v>
      </c>
      <c r="L49" s="4" t="s">
        <v>232</v>
      </c>
      <c r="M49" s="4" t="s">
        <v>320</v>
      </c>
      <c r="N49" s="4" t="s">
        <v>320</v>
      </c>
      <c r="O49" s="11">
        <v>0.1363</v>
      </c>
      <c r="P49" s="4" t="s">
        <v>234</v>
      </c>
      <c r="Q49" s="4" t="s">
        <v>235</v>
      </c>
      <c r="R49" s="4" t="s">
        <v>321</v>
      </c>
      <c r="S49" s="13" t="s">
        <v>237</v>
      </c>
      <c r="T49" s="17">
        <v>59</v>
      </c>
      <c r="U49" s="17">
        <v>74.5</v>
      </c>
      <c r="V49" s="4" t="s">
        <v>234</v>
      </c>
      <c r="W49" s="15" t="s">
        <v>321</v>
      </c>
      <c r="X49" s="15" t="s">
        <v>322</v>
      </c>
    </row>
    <row r="50" spans="1:24" ht="21.95" customHeight="1">
      <c r="A50" s="4" t="s">
        <v>101</v>
      </c>
      <c r="B50" s="8" t="s">
        <v>102</v>
      </c>
      <c r="C50" s="5">
        <v>6075</v>
      </c>
      <c r="D50" s="5">
        <v>434</v>
      </c>
      <c r="E50" s="5">
        <v>577</v>
      </c>
      <c r="F50" s="5">
        <v>14</v>
      </c>
      <c r="G50" s="5">
        <v>10.5</v>
      </c>
      <c r="H50" s="6"/>
      <c r="I50" s="7">
        <v>10400</v>
      </c>
      <c r="J50" s="7">
        <v>45437002</v>
      </c>
      <c r="K50" s="9" t="s">
        <v>231</v>
      </c>
      <c r="L50" s="4" t="s">
        <v>232</v>
      </c>
      <c r="M50" s="4" t="s">
        <v>323</v>
      </c>
      <c r="N50" s="4" t="s">
        <v>323</v>
      </c>
      <c r="O50" s="11">
        <v>0.1656</v>
      </c>
      <c r="P50" s="4" t="s">
        <v>234</v>
      </c>
      <c r="Q50" s="4" t="s">
        <v>235</v>
      </c>
      <c r="R50" s="4" t="s">
        <v>324</v>
      </c>
      <c r="S50" s="13" t="s">
        <v>237</v>
      </c>
      <c r="T50" s="17">
        <v>315.33</v>
      </c>
      <c r="U50" s="17">
        <v>343.4</v>
      </c>
      <c r="V50" s="4" t="s">
        <v>234</v>
      </c>
      <c r="W50" s="15" t="s">
        <v>324</v>
      </c>
      <c r="X50" s="15" t="s">
        <v>238</v>
      </c>
    </row>
    <row r="51" spans="1:24" ht="21.95" customHeight="1">
      <c r="A51" s="4" t="s">
        <v>109</v>
      </c>
      <c r="B51" s="8" t="s">
        <v>110</v>
      </c>
      <c r="C51" s="5">
        <v>31000</v>
      </c>
      <c r="D51" s="5">
        <v>2195</v>
      </c>
      <c r="E51" s="5">
        <v>2749</v>
      </c>
      <c r="F51" s="5">
        <v>14.1</v>
      </c>
      <c r="G51" s="5">
        <v>11.2</v>
      </c>
      <c r="H51" s="6"/>
      <c r="I51" s="7">
        <v>328000</v>
      </c>
      <c r="J51" s="7">
        <v>7778566</v>
      </c>
      <c r="K51" s="9" t="s">
        <v>231</v>
      </c>
      <c r="L51" s="4" t="s">
        <v>232</v>
      </c>
      <c r="M51" s="4" t="s">
        <v>325</v>
      </c>
      <c r="N51" s="4" t="s">
        <v>325</v>
      </c>
      <c r="O51" s="11">
        <v>0.16449999999999998</v>
      </c>
      <c r="P51" s="4" t="s">
        <v>234</v>
      </c>
      <c r="Q51" s="4" t="s">
        <v>235</v>
      </c>
      <c r="R51" s="4" t="s">
        <v>326</v>
      </c>
      <c r="S51" s="13" t="s">
        <v>237</v>
      </c>
      <c r="T51" s="17">
        <v>1707.89</v>
      </c>
      <c r="U51" s="17">
        <v>2007.89</v>
      </c>
      <c r="V51" s="4" t="s">
        <v>234</v>
      </c>
      <c r="W51" s="15" t="s">
        <v>326</v>
      </c>
      <c r="X51" s="15" t="s">
        <v>238</v>
      </c>
    </row>
    <row r="52" spans="1:24" ht="21.95" customHeight="1">
      <c r="A52" s="4" t="s">
        <v>97</v>
      </c>
      <c r="B52" s="8" t="s">
        <v>98</v>
      </c>
      <c r="C52" s="5">
        <v>3942</v>
      </c>
      <c r="D52" s="5">
        <v>276</v>
      </c>
      <c r="E52" s="5">
        <v>382</v>
      </c>
      <c r="F52" s="5">
        <v>14.3</v>
      </c>
      <c r="G52" s="5">
        <v>10.3</v>
      </c>
      <c r="H52" s="6"/>
      <c r="I52" s="7">
        <v>24100</v>
      </c>
      <c r="J52" s="7">
        <v>12184045</v>
      </c>
      <c r="K52" s="9" t="s">
        <v>231</v>
      </c>
      <c r="L52" s="4" t="s">
        <v>232</v>
      </c>
      <c r="M52" s="4" t="s">
        <v>327</v>
      </c>
      <c r="N52" s="4" t="s">
        <v>327</v>
      </c>
      <c r="O52" s="11">
        <v>0.13639999999999999</v>
      </c>
      <c r="P52" s="4" t="s">
        <v>288</v>
      </c>
      <c r="Q52" s="4" t="s">
        <v>235</v>
      </c>
      <c r="R52" s="4" t="s">
        <v>328</v>
      </c>
      <c r="S52" s="13" t="s">
        <v>237</v>
      </c>
      <c r="T52" s="17">
        <v>199</v>
      </c>
      <c r="U52" s="17">
        <v>257.33</v>
      </c>
      <c r="V52" s="4" t="s">
        <v>288</v>
      </c>
      <c r="W52" s="15" t="s">
        <v>328</v>
      </c>
      <c r="X52" s="15" t="s">
        <v>238</v>
      </c>
    </row>
    <row r="53" spans="1:24" ht="21.95" customHeight="1">
      <c r="A53" s="4" t="s">
        <v>105</v>
      </c>
      <c r="B53" s="8" t="s">
        <v>106</v>
      </c>
      <c r="C53" s="5">
        <v>7194</v>
      </c>
      <c r="D53" s="5">
        <v>492</v>
      </c>
      <c r="E53" s="5">
        <v>858</v>
      </c>
      <c r="F53" s="5">
        <v>14.6</v>
      </c>
      <c r="G53" s="5">
        <v>8.4</v>
      </c>
      <c r="H53" s="6" t="s">
        <v>216</v>
      </c>
      <c r="I53" s="7">
        <v>23850</v>
      </c>
      <c r="J53" s="7">
        <v>23059202</v>
      </c>
      <c r="K53" s="9" t="s">
        <v>231</v>
      </c>
      <c r="L53" s="4" t="s">
        <v>232</v>
      </c>
      <c r="M53" s="4" t="s">
        <v>329</v>
      </c>
      <c r="N53" s="4" t="s">
        <v>329</v>
      </c>
      <c r="O53" s="11">
        <v>0.24559999999999998</v>
      </c>
      <c r="P53" s="4" t="s">
        <v>234</v>
      </c>
      <c r="Q53" s="4" t="s">
        <v>235</v>
      </c>
      <c r="R53" s="4" t="s">
        <v>330</v>
      </c>
      <c r="S53" s="13" t="s">
        <v>237</v>
      </c>
      <c r="T53" s="17">
        <v>303.33</v>
      </c>
      <c r="U53" s="17">
        <v>548.66999999999996</v>
      </c>
      <c r="V53" s="4" t="s">
        <v>234</v>
      </c>
      <c r="W53" s="15" t="s">
        <v>330</v>
      </c>
      <c r="X53" s="15" t="s">
        <v>331</v>
      </c>
    </row>
    <row r="54" spans="1:24" ht="21.95" customHeight="1">
      <c r="A54" s="4" t="s">
        <v>114</v>
      </c>
      <c r="B54" s="8" t="s">
        <v>115</v>
      </c>
      <c r="C54" s="5">
        <v>19000</v>
      </c>
      <c r="D54" s="5">
        <v>1223</v>
      </c>
      <c r="E54" s="5">
        <v>1594</v>
      </c>
      <c r="F54" s="5">
        <v>15.8</v>
      </c>
      <c r="G54" s="5">
        <v>12.1</v>
      </c>
      <c r="H54" s="6" t="s">
        <v>216</v>
      </c>
      <c r="I54" s="7">
        <v>62300</v>
      </c>
      <c r="J54" s="7">
        <v>23982620</v>
      </c>
      <c r="K54" s="9" t="s">
        <v>231</v>
      </c>
      <c r="L54" s="4" t="s">
        <v>232</v>
      </c>
      <c r="M54" s="4" t="s">
        <v>332</v>
      </c>
      <c r="N54" s="4" t="s">
        <v>332</v>
      </c>
      <c r="O54" s="11">
        <v>0.20989999999999998</v>
      </c>
      <c r="P54" s="4" t="s">
        <v>234</v>
      </c>
      <c r="Q54" s="4" t="s">
        <v>235</v>
      </c>
      <c r="R54" s="4" t="s">
        <v>333</v>
      </c>
      <c r="S54" s="13" t="s">
        <v>237</v>
      </c>
      <c r="T54" s="17">
        <v>849</v>
      </c>
      <c r="U54" s="17">
        <v>970.5</v>
      </c>
      <c r="V54" s="4" t="s">
        <v>234</v>
      </c>
      <c r="W54" s="15" t="s">
        <v>333</v>
      </c>
      <c r="X54" s="15" t="s">
        <v>238</v>
      </c>
    </row>
    <row r="55" spans="1:24" ht="21.95" customHeight="1">
      <c r="A55" s="4" t="s">
        <v>122</v>
      </c>
      <c r="B55" s="8" t="s">
        <v>123</v>
      </c>
      <c r="C55" s="5">
        <v>7803</v>
      </c>
      <c r="D55" s="5">
        <v>482</v>
      </c>
      <c r="E55" s="5">
        <v>536</v>
      </c>
      <c r="F55" s="5">
        <v>16.2</v>
      </c>
      <c r="G55" s="5">
        <v>14.6</v>
      </c>
      <c r="H55" s="6"/>
      <c r="I55" s="7">
        <v>52200</v>
      </c>
      <c r="J55" s="7">
        <v>12347181</v>
      </c>
      <c r="K55" s="9" t="s">
        <v>231</v>
      </c>
      <c r="L55" s="4" t="s">
        <v>232</v>
      </c>
      <c r="M55" s="4" t="s">
        <v>334</v>
      </c>
      <c r="N55" s="4" t="s">
        <v>334</v>
      </c>
      <c r="O55" s="11">
        <v>0.24309999999999998</v>
      </c>
      <c r="P55" s="4" t="s">
        <v>234</v>
      </c>
      <c r="Q55" s="4" t="s">
        <v>235</v>
      </c>
      <c r="R55" s="4" t="s">
        <v>335</v>
      </c>
      <c r="S55" s="13" t="s">
        <v>237</v>
      </c>
      <c r="T55" s="17">
        <v>328.5</v>
      </c>
      <c r="U55" s="17">
        <v>360</v>
      </c>
      <c r="V55" s="4" t="s">
        <v>234</v>
      </c>
      <c r="W55" s="15" t="s">
        <v>335</v>
      </c>
      <c r="X55" s="15" t="s">
        <v>238</v>
      </c>
    </row>
    <row r="56" spans="1:24" ht="21.95" customHeight="1">
      <c r="A56" s="4" t="s">
        <v>132</v>
      </c>
      <c r="B56" s="8" t="s">
        <v>133</v>
      </c>
      <c r="C56" s="5">
        <v>7435</v>
      </c>
      <c r="D56" s="5">
        <v>451</v>
      </c>
      <c r="E56" s="5">
        <v>543</v>
      </c>
      <c r="F56" s="5">
        <v>16.5</v>
      </c>
      <c r="G56" s="5">
        <v>13.7</v>
      </c>
      <c r="H56" s="6"/>
      <c r="I56" s="7">
        <v>50000</v>
      </c>
      <c r="J56" s="7">
        <v>12998378</v>
      </c>
      <c r="K56" s="9" t="s">
        <v>231</v>
      </c>
      <c r="L56" s="4" t="s">
        <v>232</v>
      </c>
      <c r="M56" s="4" t="s">
        <v>336</v>
      </c>
      <c r="N56" s="4" t="s">
        <v>336</v>
      </c>
      <c r="O56" s="11">
        <v>0.64170000000000005</v>
      </c>
      <c r="P56" s="4" t="s">
        <v>234</v>
      </c>
      <c r="Q56" s="4" t="s">
        <v>235</v>
      </c>
      <c r="R56" s="4" t="s">
        <v>337</v>
      </c>
      <c r="S56" s="13" t="s">
        <v>237</v>
      </c>
      <c r="T56" s="17">
        <v>43</v>
      </c>
      <c r="U56" s="17">
        <v>71.75</v>
      </c>
      <c r="V56" s="4" t="s">
        <v>234</v>
      </c>
      <c r="W56" s="15" t="s">
        <v>337</v>
      </c>
      <c r="X56" s="15" t="s">
        <v>238</v>
      </c>
    </row>
    <row r="57" spans="1:24" ht="21.95" customHeight="1">
      <c r="A57" s="4" t="s">
        <v>120</v>
      </c>
      <c r="B57" s="8" t="s">
        <v>121</v>
      </c>
      <c r="C57" s="5">
        <v>3877</v>
      </c>
      <c r="D57" s="5">
        <v>232</v>
      </c>
      <c r="E57" s="5">
        <v>281</v>
      </c>
      <c r="F57" s="5">
        <v>16.7</v>
      </c>
      <c r="G57" s="5">
        <v>13.8</v>
      </c>
      <c r="H57" s="6"/>
      <c r="I57" s="7">
        <v>29300</v>
      </c>
      <c r="J57" s="7">
        <v>10477005</v>
      </c>
      <c r="K57" s="9" t="s">
        <v>231</v>
      </c>
      <c r="L57" s="4" t="s">
        <v>232</v>
      </c>
      <c r="M57" s="4" t="s">
        <v>338</v>
      </c>
      <c r="N57" s="4" t="s">
        <v>338</v>
      </c>
      <c r="O57" s="11">
        <v>0.1414</v>
      </c>
      <c r="P57" s="4" t="s">
        <v>234</v>
      </c>
      <c r="Q57" s="4" t="s">
        <v>235</v>
      </c>
      <c r="R57" s="4" t="s">
        <v>339</v>
      </c>
      <c r="S57" s="13" t="s">
        <v>237</v>
      </c>
      <c r="T57" s="17">
        <v>69.33</v>
      </c>
      <c r="U57" s="17">
        <v>66.67</v>
      </c>
      <c r="V57" s="4" t="s">
        <v>234</v>
      </c>
      <c r="W57" s="15" t="s">
        <v>339</v>
      </c>
      <c r="X57" s="15" t="s">
        <v>238</v>
      </c>
    </row>
    <row r="58" spans="1:24" ht="21.95" customHeight="1">
      <c r="A58" s="4" t="s">
        <v>126</v>
      </c>
      <c r="B58" s="8" t="s">
        <v>127</v>
      </c>
      <c r="C58" s="5">
        <v>60000</v>
      </c>
      <c r="D58" s="5">
        <v>3392</v>
      </c>
      <c r="E58" s="5">
        <v>4385</v>
      </c>
      <c r="F58" s="5">
        <v>17.600000000000001</v>
      </c>
      <c r="G58" s="5">
        <v>13.6</v>
      </c>
      <c r="H58" s="6"/>
      <c r="I58" s="7">
        <v>120400</v>
      </c>
      <c r="J58" s="7">
        <v>38484526</v>
      </c>
      <c r="K58" s="9" t="s">
        <v>231</v>
      </c>
      <c r="L58" s="4" t="s">
        <v>232</v>
      </c>
      <c r="M58" s="4" t="s">
        <v>340</v>
      </c>
      <c r="N58" s="4" t="s">
        <v>340</v>
      </c>
      <c r="O58" s="11">
        <v>0.36479999999999996</v>
      </c>
      <c r="P58" s="4" t="s">
        <v>234</v>
      </c>
      <c r="Q58" s="4" t="s">
        <v>235</v>
      </c>
      <c r="R58" s="4" t="s">
        <v>341</v>
      </c>
      <c r="S58" s="13" t="s">
        <v>237</v>
      </c>
      <c r="T58" s="17">
        <v>1971.22</v>
      </c>
      <c r="U58" s="17">
        <v>2593.4</v>
      </c>
      <c r="V58" s="4" t="s">
        <v>234</v>
      </c>
      <c r="W58" s="15" t="s">
        <v>341</v>
      </c>
      <c r="X58" s="15" t="s">
        <v>238</v>
      </c>
    </row>
    <row r="59" spans="1:24" ht="21.95" customHeight="1">
      <c r="A59" s="4" t="s">
        <v>128</v>
      </c>
      <c r="B59" s="8" t="s">
        <v>129</v>
      </c>
      <c r="C59" s="5">
        <v>7400</v>
      </c>
      <c r="D59" s="5">
        <v>415</v>
      </c>
      <c r="E59" s="5">
        <v>413</v>
      </c>
      <c r="F59" s="5">
        <v>17.8</v>
      </c>
      <c r="G59" s="5">
        <v>17.899999999999999</v>
      </c>
      <c r="H59" s="6"/>
      <c r="I59" s="7">
        <v>44200</v>
      </c>
      <c r="J59" s="7">
        <v>13050797</v>
      </c>
      <c r="K59" s="9" t="s">
        <v>231</v>
      </c>
      <c r="L59" s="4" t="s">
        <v>232</v>
      </c>
      <c r="M59" s="4" t="s">
        <v>342</v>
      </c>
      <c r="N59" s="4" t="s">
        <v>342</v>
      </c>
      <c r="O59" s="11">
        <v>0.1704</v>
      </c>
      <c r="P59" s="4" t="s">
        <v>234</v>
      </c>
      <c r="Q59" s="4" t="s">
        <v>235</v>
      </c>
      <c r="R59" s="4" t="s">
        <v>343</v>
      </c>
      <c r="S59" s="13" t="s">
        <v>237</v>
      </c>
      <c r="T59" s="17">
        <v>267.67</v>
      </c>
      <c r="U59" s="17">
        <v>216.33</v>
      </c>
      <c r="V59" s="4" t="s">
        <v>234</v>
      </c>
      <c r="W59" s="15" t="s">
        <v>343</v>
      </c>
      <c r="X59" s="15" t="s">
        <v>238</v>
      </c>
    </row>
    <row r="60" spans="1:24" ht="21.95" customHeight="1">
      <c r="A60" s="4" t="s">
        <v>124</v>
      </c>
      <c r="B60" s="8" t="s">
        <v>125</v>
      </c>
      <c r="C60" s="5">
        <v>12000</v>
      </c>
      <c r="D60" s="5">
        <v>665</v>
      </c>
      <c r="E60" s="5">
        <v>828</v>
      </c>
      <c r="F60" s="5">
        <v>18.2</v>
      </c>
      <c r="G60" s="5">
        <v>14.6</v>
      </c>
      <c r="H60" s="6"/>
      <c r="I60" s="7">
        <v>37600</v>
      </c>
      <c r="J60" s="7">
        <v>23701260</v>
      </c>
      <c r="K60" s="9" t="s">
        <v>231</v>
      </c>
      <c r="L60" s="4" t="s">
        <v>232</v>
      </c>
      <c r="M60" s="4" t="s">
        <v>344</v>
      </c>
      <c r="N60" s="4" t="s">
        <v>344</v>
      </c>
      <c r="O60" s="11">
        <v>0.24890000000000001</v>
      </c>
      <c r="P60" s="4" t="s">
        <v>234</v>
      </c>
      <c r="Q60" s="4" t="s">
        <v>235</v>
      </c>
      <c r="R60" s="4" t="s">
        <v>345</v>
      </c>
      <c r="S60" s="13" t="s">
        <v>237</v>
      </c>
      <c r="T60" s="17">
        <v>459.5</v>
      </c>
      <c r="U60" s="17">
        <v>568.27</v>
      </c>
      <c r="V60" s="4" t="s">
        <v>234</v>
      </c>
      <c r="W60" s="15" t="s">
        <v>345</v>
      </c>
      <c r="X60" s="15" t="s">
        <v>238</v>
      </c>
    </row>
    <row r="61" spans="1:24" ht="21.95" customHeight="1">
      <c r="A61" s="4" t="s">
        <v>134</v>
      </c>
      <c r="B61" s="8" t="s">
        <v>135</v>
      </c>
      <c r="C61" s="5">
        <v>34000</v>
      </c>
      <c r="D61" s="5">
        <v>1870</v>
      </c>
      <c r="E61" s="5">
        <v>2470</v>
      </c>
      <c r="F61" s="5">
        <v>18.2</v>
      </c>
      <c r="G61" s="5">
        <v>13.8</v>
      </c>
      <c r="H61" s="6" t="s">
        <v>216</v>
      </c>
      <c r="I61" s="7">
        <v>261000</v>
      </c>
      <c r="J61" s="7">
        <v>11061429</v>
      </c>
      <c r="K61" s="9" t="s">
        <v>231</v>
      </c>
      <c r="L61" s="4" t="s">
        <v>232</v>
      </c>
      <c r="M61" s="4" t="s">
        <v>346</v>
      </c>
      <c r="N61" s="4" t="s">
        <v>346</v>
      </c>
      <c r="O61" s="11">
        <v>0.30320000000000003</v>
      </c>
      <c r="P61" s="4" t="s">
        <v>234</v>
      </c>
      <c r="Q61" s="4" t="s">
        <v>235</v>
      </c>
      <c r="R61" s="4" t="s">
        <v>347</v>
      </c>
      <c r="S61" s="13" t="s">
        <v>237</v>
      </c>
      <c r="T61" s="17">
        <v>1437.33</v>
      </c>
      <c r="U61" s="17">
        <v>1918.33</v>
      </c>
      <c r="V61" s="4" t="s">
        <v>234</v>
      </c>
      <c r="W61" s="15" t="s">
        <v>347</v>
      </c>
      <c r="X61" s="15" t="s">
        <v>238</v>
      </c>
    </row>
    <row r="62" spans="1:24" ht="21.95" customHeight="1">
      <c r="A62" s="4" t="s">
        <v>130</v>
      </c>
      <c r="B62" s="8" t="s">
        <v>131</v>
      </c>
      <c r="C62" s="5">
        <v>39000</v>
      </c>
      <c r="D62" s="5">
        <v>2026</v>
      </c>
      <c r="E62" s="5">
        <v>2266</v>
      </c>
      <c r="F62" s="5">
        <v>19</v>
      </c>
      <c r="G62" s="5">
        <v>17</v>
      </c>
      <c r="H62" s="6"/>
      <c r="I62" s="7">
        <v>56400</v>
      </c>
      <c r="J62" s="7">
        <v>50111027</v>
      </c>
      <c r="K62" s="9" t="s">
        <v>231</v>
      </c>
      <c r="L62" s="4" t="s">
        <v>232</v>
      </c>
      <c r="M62" s="4" t="s">
        <v>348</v>
      </c>
      <c r="N62" s="4" t="s">
        <v>348</v>
      </c>
      <c r="O62" s="11">
        <v>0.91209999999999991</v>
      </c>
      <c r="P62" s="4" t="s">
        <v>234</v>
      </c>
      <c r="Q62" s="4" t="s">
        <v>235</v>
      </c>
      <c r="R62" s="4" t="s">
        <v>349</v>
      </c>
      <c r="S62" s="13" t="s">
        <v>237</v>
      </c>
      <c r="T62" s="17">
        <v>544.5</v>
      </c>
      <c r="U62" s="17">
        <v>928.5</v>
      </c>
      <c r="V62" s="4" t="s">
        <v>234</v>
      </c>
      <c r="W62" s="15" t="s">
        <v>349</v>
      </c>
      <c r="X62" s="15" t="s">
        <v>238</v>
      </c>
    </row>
    <row r="63" spans="1:24" ht="21.95" customHeight="1">
      <c r="A63" s="4" t="s">
        <v>138</v>
      </c>
      <c r="B63" s="8" t="s">
        <v>139</v>
      </c>
      <c r="C63" s="5">
        <v>12000</v>
      </c>
      <c r="D63" s="5">
        <v>625</v>
      </c>
      <c r="E63" s="5">
        <v>1446</v>
      </c>
      <c r="F63" s="5">
        <v>19.2</v>
      </c>
      <c r="G63" s="5">
        <v>8.3000000000000007</v>
      </c>
      <c r="H63" s="6" t="s">
        <v>216</v>
      </c>
      <c r="I63" s="7">
        <v>35150</v>
      </c>
      <c r="J63" s="7">
        <v>28300000</v>
      </c>
      <c r="K63" s="9" t="s">
        <v>231</v>
      </c>
      <c r="L63" s="4" t="s">
        <v>232</v>
      </c>
      <c r="M63" s="4" t="s">
        <v>350</v>
      </c>
      <c r="N63" s="4" t="s">
        <v>350</v>
      </c>
      <c r="O63" s="11">
        <v>0.26170000000000004</v>
      </c>
      <c r="P63" s="4" t="s">
        <v>234</v>
      </c>
      <c r="Q63" s="4" t="s">
        <v>235</v>
      </c>
      <c r="R63" s="4" t="s">
        <v>351</v>
      </c>
      <c r="S63" s="13" t="s">
        <v>237</v>
      </c>
      <c r="T63" s="17">
        <v>601.75</v>
      </c>
      <c r="U63" s="17">
        <v>1162.5999999999999</v>
      </c>
      <c r="V63" s="4" t="s">
        <v>234</v>
      </c>
      <c r="W63" s="15" t="s">
        <v>351</v>
      </c>
      <c r="X63" s="15" t="s">
        <v>352</v>
      </c>
    </row>
    <row r="64" spans="1:24" ht="21.95" customHeight="1">
      <c r="A64" s="4" t="s">
        <v>146</v>
      </c>
      <c r="B64" s="8" t="s">
        <v>147</v>
      </c>
      <c r="C64" s="5">
        <v>16000</v>
      </c>
      <c r="D64" s="5">
        <v>818</v>
      </c>
      <c r="E64" s="5">
        <v>972</v>
      </c>
      <c r="F64" s="5">
        <v>20</v>
      </c>
      <c r="G64" s="5">
        <v>16.8</v>
      </c>
      <c r="H64" s="6"/>
      <c r="I64" s="7">
        <v>108400</v>
      </c>
      <c r="J64" s="7">
        <v>12675758</v>
      </c>
      <c r="K64" s="9" t="s">
        <v>231</v>
      </c>
      <c r="L64" s="4" t="s">
        <v>232</v>
      </c>
      <c r="M64" s="4" t="s">
        <v>353</v>
      </c>
      <c r="N64" s="4" t="s">
        <v>353</v>
      </c>
      <c r="O64" s="11">
        <v>0.30730000000000002</v>
      </c>
      <c r="P64" s="4" t="s">
        <v>234</v>
      </c>
      <c r="Q64" s="4" t="s">
        <v>235</v>
      </c>
      <c r="R64" s="4" t="s">
        <v>354</v>
      </c>
      <c r="S64" s="13" t="s">
        <v>237</v>
      </c>
      <c r="T64" s="17">
        <v>310.75</v>
      </c>
      <c r="U64" s="17">
        <v>333.62</v>
      </c>
      <c r="V64" s="4" t="s">
        <v>234</v>
      </c>
      <c r="W64" s="15" t="s">
        <v>354</v>
      </c>
      <c r="X64" s="15" t="s">
        <v>238</v>
      </c>
    </row>
    <row r="65" spans="1:24" ht="21.95" customHeight="1">
      <c r="A65" s="4" t="s">
        <v>150</v>
      </c>
      <c r="B65" s="8" t="s">
        <v>151</v>
      </c>
      <c r="C65" s="5">
        <v>2700</v>
      </c>
      <c r="D65" s="5">
        <v>134</v>
      </c>
      <c r="E65" s="5">
        <v>134</v>
      </c>
      <c r="F65" s="5">
        <v>20.100000000000001</v>
      </c>
      <c r="G65" s="5">
        <v>20.100000000000001</v>
      </c>
      <c r="H65" s="6"/>
      <c r="I65" s="7">
        <v>27700</v>
      </c>
      <c r="J65" s="7">
        <v>8255421</v>
      </c>
      <c r="K65" s="9" t="s">
        <v>231</v>
      </c>
      <c r="L65" s="4" t="s">
        <v>232</v>
      </c>
      <c r="M65" s="4" t="s">
        <v>355</v>
      </c>
      <c r="N65" s="4" t="s">
        <v>355</v>
      </c>
      <c r="O65" s="11">
        <v>0.58760000000000001</v>
      </c>
      <c r="P65" s="4" t="s">
        <v>288</v>
      </c>
      <c r="Q65" s="4" t="s">
        <v>235</v>
      </c>
      <c r="R65" s="4" t="s">
        <v>356</v>
      </c>
      <c r="S65" s="13" t="s">
        <v>237</v>
      </c>
      <c r="T65" s="17">
        <v>12</v>
      </c>
      <c r="U65" s="17">
        <v>12.33</v>
      </c>
      <c r="V65" s="4" t="s">
        <v>288</v>
      </c>
      <c r="W65" s="15" t="s">
        <v>356</v>
      </c>
      <c r="X65" s="15" t="s">
        <v>238</v>
      </c>
    </row>
    <row r="66" spans="1:24" ht="21.95" customHeight="1">
      <c r="A66" s="4" t="s">
        <v>142</v>
      </c>
      <c r="B66" s="8" t="s">
        <v>143</v>
      </c>
      <c r="C66" s="5">
        <v>6883</v>
      </c>
      <c r="D66" s="5">
        <v>338</v>
      </c>
      <c r="E66" s="5">
        <v>389</v>
      </c>
      <c r="F66" s="5">
        <v>20.399999999999999</v>
      </c>
      <c r="G66" s="5">
        <v>17.7</v>
      </c>
      <c r="H66" s="6" t="s">
        <v>216</v>
      </c>
      <c r="I66" s="7">
        <v>12500</v>
      </c>
      <c r="J66" s="7">
        <v>43869164</v>
      </c>
      <c r="K66" s="9" t="s">
        <v>231</v>
      </c>
      <c r="L66" s="4" t="s">
        <v>232</v>
      </c>
      <c r="M66" s="4" t="s">
        <v>357</v>
      </c>
      <c r="N66" s="4" t="s">
        <v>357</v>
      </c>
      <c r="O66" s="11">
        <v>0.2253</v>
      </c>
      <c r="P66" s="4" t="s">
        <v>234</v>
      </c>
      <c r="Q66" s="4" t="s">
        <v>235</v>
      </c>
      <c r="R66" s="4" t="s">
        <v>358</v>
      </c>
      <c r="S66" s="13" t="s">
        <v>237</v>
      </c>
      <c r="T66" s="17">
        <v>257.5</v>
      </c>
      <c r="U66" s="17">
        <v>279.39999999999998</v>
      </c>
      <c r="V66" s="4" t="s">
        <v>234</v>
      </c>
      <c r="W66" s="15" t="s">
        <v>358</v>
      </c>
      <c r="X66" s="15" t="s">
        <v>238</v>
      </c>
    </row>
    <row r="67" spans="1:24" ht="21.95" customHeight="1">
      <c r="A67" s="4" t="s">
        <v>136</v>
      </c>
      <c r="B67" s="8" t="s">
        <v>137</v>
      </c>
      <c r="C67" s="5">
        <v>6890</v>
      </c>
      <c r="D67" s="5">
        <v>337</v>
      </c>
      <c r="E67" s="5">
        <v>358</v>
      </c>
      <c r="F67" s="5">
        <v>20.399999999999999</v>
      </c>
      <c r="G67" s="5">
        <v>19.2</v>
      </c>
      <c r="H67" s="6"/>
      <c r="I67" s="7">
        <v>15450</v>
      </c>
      <c r="J67" s="7">
        <v>34025440</v>
      </c>
      <c r="K67" s="9" t="s">
        <v>231</v>
      </c>
      <c r="L67" s="4" t="s">
        <v>232</v>
      </c>
      <c r="M67" s="4" t="s">
        <v>359</v>
      </c>
      <c r="N67" s="4" t="s">
        <v>359</v>
      </c>
      <c r="O67" s="11">
        <v>0.14380000000000001</v>
      </c>
      <c r="P67" s="4" t="s">
        <v>234</v>
      </c>
      <c r="Q67" s="4" t="s">
        <v>235</v>
      </c>
      <c r="R67" s="4" t="s">
        <v>360</v>
      </c>
      <c r="S67" s="13" t="s">
        <v>237</v>
      </c>
      <c r="T67" s="17">
        <v>-14.5</v>
      </c>
      <c r="U67" s="17">
        <v>3</v>
      </c>
      <c r="V67" s="4" t="s">
        <v>234</v>
      </c>
      <c r="W67" s="15" t="s">
        <v>360</v>
      </c>
      <c r="X67" s="15" t="s">
        <v>238</v>
      </c>
    </row>
    <row r="68" spans="1:24" ht="21.95" customHeight="1">
      <c r="A68" s="4" t="s">
        <v>144</v>
      </c>
      <c r="B68" s="8" t="s">
        <v>145</v>
      </c>
      <c r="C68" s="5">
        <v>41000</v>
      </c>
      <c r="D68" s="5">
        <v>1981</v>
      </c>
      <c r="E68" s="5">
        <v>2325</v>
      </c>
      <c r="F68" s="5">
        <v>20.5</v>
      </c>
      <c r="G68" s="5">
        <v>17.399999999999999</v>
      </c>
      <c r="H68" s="6"/>
      <c r="I68" s="7">
        <v>114800</v>
      </c>
      <c r="J68" s="7">
        <v>28966714</v>
      </c>
      <c r="K68" s="9" t="s">
        <v>231</v>
      </c>
      <c r="L68" s="4" t="s">
        <v>232</v>
      </c>
      <c r="M68" s="4" t="s">
        <v>361</v>
      </c>
      <c r="N68" s="4" t="s">
        <v>361</v>
      </c>
      <c r="O68" s="11">
        <v>0.25579999999999997</v>
      </c>
      <c r="P68" s="4" t="s">
        <v>234</v>
      </c>
      <c r="Q68" s="4" t="s">
        <v>235</v>
      </c>
      <c r="R68" s="4" t="s">
        <v>362</v>
      </c>
      <c r="S68" s="13" t="s">
        <v>237</v>
      </c>
      <c r="T68" s="17">
        <v>1650.5</v>
      </c>
      <c r="U68" s="17">
        <v>1915</v>
      </c>
      <c r="V68" s="4" t="s">
        <v>234</v>
      </c>
      <c r="W68" s="15" t="s">
        <v>362</v>
      </c>
      <c r="X68" s="15" t="s">
        <v>238</v>
      </c>
    </row>
    <row r="69" spans="1:24" ht="21.95" customHeight="1">
      <c r="A69" s="4" t="s">
        <v>140</v>
      </c>
      <c r="B69" s="8" t="s">
        <v>141</v>
      </c>
      <c r="C69" s="5">
        <v>89000</v>
      </c>
      <c r="D69" s="5">
        <v>4240</v>
      </c>
      <c r="E69" s="5">
        <v>5292</v>
      </c>
      <c r="F69" s="5">
        <v>20.9</v>
      </c>
      <c r="G69" s="5">
        <v>16.8</v>
      </c>
      <c r="H69" s="6"/>
      <c r="I69" s="7">
        <v>92100</v>
      </c>
      <c r="J69" s="7">
        <v>73409219</v>
      </c>
      <c r="K69" s="9" t="s">
        <v>231</v>
      </c>
      <c r="L69" s="4" t="s">
        <v>232</v>
      </c>
      <c r="M69" s="4" t="s">
        <v>363</v>
      </c>
      <c r="N69" s="4" t="s">
        <v>363</v>
      </c>
      <c r="O69" s="11">
        <v>0.34700000000000003</v>
      </c>
      <c r="P69" s="4" t="s">
        <v>234</v>
      </c>
      <c r="Q69" s="4" t="s">
        <v>235</v>
      </c>
      <c r="R69" s="4" t="s">
        <v>364</v>
      </c>
      <c r="S69" s="13" t="s">
        <v>237</v>
      </c>
      <c r="T69" s="17">
        <v>2743</v>
      </c>
      <c r="U69" s="17">
        <v>3491.33</v>
      </c>
      <c r="V69" s="4" t="s">
        <v>234</v>
      </c>
      <c r="W69" s="15" t="s">
        <v>364</v>
      </c>
      <c r="X69" s="15" t="s">
        <v>238</v>
      </c>
    </row>
    <row r="70" spans="1:24" ht="21.95" customHeight="1">
      <c r="A70" s="4" t="s">
        <v>156</v>
      </c>
      <c r="B70" s="8" t="s">
        <v>157</v>
      </c>
      <c r="C70" s="5">
        <v>15000</v>
      </c>
      <c r="D70" s="5">
        <v>717</v>
      </c>
      <c r="E70" s="5">
        <v>1057</v>
      </c>
      <c r="F70" s="5">
        <v>21.4</v>
      </c>
      <c r="G70" s="5">
        <v>14.5</v>
      </c>
      <c r="H70" s="6" t="s">
        <v>216</v>
      </c>
      <c r="I70" s="7">
        <v>11800</v>
      </c>
      <c r="J70" s="7">
        <v>107255330</v>
      </c>
      <c r="K70" s="9" t="s">
        <v>231</v>
      </c>
      <c r="L70" s="4" t="s">
        <v>232</v>
      </c>
      <c r="M70" s="4" t="s">
        <v>365</v>
      </c>
      <c r="N70" s="4" t="s">
        <v>365</v>
      </c>
      <c r="O70" s="11">
        <v>0.17749999999999999</v>
      </c>
      <c r="P70" s="4" t="s">
        <v>234</v>
      </c>
      <c r="Q70" s="4" t="s">
        <v>235</v>
      </c>
      <c r="R70" s="4" t="s">
        <v>366</v>
      </c>
      <c r="S70" s="13" t="s">
        <v>237</v>
      </c>
      <c r="T70" s="17">
        <v>402</v>
      </c>
      <c r="U70" s="17">
        <v>765</v>
      </c>
      <c r="V70" s="4" t="s">
        <v>234</v>
      </c>
      <c r="W70" s="15" t="s">
        <v>366</v>
      </c>
      <c r="X70" s="15" t="s">
        <v>238</v>
      </c>
    </row>
    <row r="71" spans="1:24" ht="21.95" customHeight="1">
      <c r="A71" s="4" t="s">
        <v>162</v>
      </c>
      <c r="B71" s="8" t="s">
        <v>163</v>
      </c>
      <c r="C71" s="5">
        <v>43000</v>
      </c>
      <c r="D71" s="5">
        <v>2019</v>
      </c>
      <c r="E71" s="5">
        <v>1657</v>
      </c>
      <c r="F71" s="5">
        <v>21.5</v>
      </c>
      <c r="G71" s="5">
        <v>26.2</v>
      </c>
      <c r="H71" s="6"/>
      <c r="I71" s="7">
        <v>179700</v>
      </c>
      <c r="J71" s="7">
        <v>21562395</v>
      </c>
      <c r="K71" s="9" t="s">
        <v>231</v>
      </c>
      <c r="L71" s="4" t="s">
        <v>232</v>
      </c>
      <c r="M71" s="4" t="s">
        <v>367</v>
      </c>
      <c r="N71" s="4" t="s">
        <v>367</v>
      </c>
      <c r="O71" s="11">
        <v>0.29260000000000003</v>
      </c>
      <c r="P71" s="4" t="s">
        <v>234</v>
      </c>
      <c r="Q71" s="4" t="s">
        <v>235</v>
      </c>
      <c r="R71" s="4" t="s">
        <v>368</v>
      </c>
      <c r="S71" s="13" t="s">
        <v>237</v>
      </c>
      <c r="T71" s="17">
        <v>1436.4</v>
      </c>
      <c r="U71" s="17">
        <v>1103.2</v>
      </c>
      <c r="V71" s="4" t="s">
        <v>234</v>
      </c>
      <c r="W71" s="15" t="s">
        <v>368</v>
      </c>
      <c r="X71" s="15" t="s">
        <v>238</v>
      </c>
    </row>
    <row r="72" spans="1:24" ht="21.95" customHeight="1">
      <c r="A72" s="4" t="s">
        <v>158</v>
      </c>
      <c r="B72" s="8" t="s">
        <v>159</v>
      </c>
      <c r="C72" s="5">
        <v>73000</v>
      </c>
      <c r="D72" s="5">
        <v>3323</v>
      </c>
      <c r="E72" s="5">
        <v>4098</v>
      </c>
      <c r="F72" s="5">
        <v>21.8</v>
      </c>
      <c r="G72" s="5">
        <v>17.7</v>
      </c>
      <c r="H72" s="6"/>
      <c r="I72" s="7">
        <v>122700</v>
      </c>
      <c r="J72" s="7">
        <v>49416925</v>
      </c>
      <c r="K72" s="9" t="s">
        <v>231</v>
      </c>
      <c r="L72" s="4" t="s">
        <v>232</v>
      </c>
      <c r="M72" s="4" t="s">
        <v>369</v>
      </c>
      <c r="N72" s="4" t="s">
        <v>369</v>
      </c>
      <c r="O72" s="11">
        <v>0.26569999999999999</v>
      </c>
      <c r="P72" s="4" t="s">
        <v>234</v>
      </c>
      <c r="Q72" s="4" t="s">
        <v>235</v>
      </c>
      <c r="R72" s="4" t="s">
        <v>370</v>
      </c>
      <c r="S72" s="13" t="s">
        <v>237</v>
      </c>
      <c r="T72" s="17">
        <v>2319.42</v>
      </c>
      <c r="U72" s="17">
        <v>2775</v>
      </c>
      <c r="V72" s="4" t="s">
        <v>234</v>
      </c>
      <c r="W72" s="15" t="s">
        <v>370</v>
      </c>
      <c r="X72" s="15" t="s">
        <v>238</v>
      </c>
    </row>
    <row r="73" spans="1:24" ht="21.95" customHeight="1">
      <c r="A73" s="4" t="s">
        <v>160</v>
      </c>
      <c r="B73" s="8" t="s">
        <v>161</v>
      </c>
      <c r="C73" s="5">
        <v>11000</v>
      </c>
      <c r="D73" s="5">
        <v>470</v>
      </c>
      <c r="E73" s="5">
        <v>469</v>
      </c>
      <c r="F73" s="5">
        <v>22.7</v>
      </c>
      <c r="G73" s="5">
        <v>22.8</v>
      </c>
      <c r="H73" s="6"/>
      <c r="I73" s="7">
        <v>14320</v>
      </c>
      <c r="J73" s="7">
        <v>60217889</v>
      </c>
      <c r="K73" s="9" t="s">
        <v>231</v>
      </c>
      <c r="L73" s="4" t="s">
        <v>232</v>
      </c>
      <c r="M73" s="4" t="s">
        <v>371</v>
      </c>
      <c r="N73" s="4" t="s">
        <v>371</v>
      </c>
      <c r="O73" s="11">
        <v>0.20730000000000001</v>
      </c>
      <c r="P73" s="4" t="s">
        <v>288</v>
      </c>
      <c r="Q73" s="4" t="s">
        <v>235</v>
      </c>
      <c r="R73" s="4" t="s">
        <v>372</v>
      </c>
      <c r="S73" s="13" t="s">
        <v>237</v>
      </c>
      <c r="T73" s="17">
        <v>358.33</v>
      </c>
      <c r="U73" s="17">
        <v>348.67</v>
      </c>
      <c r="V73" s="4" t="s">
        <v>288</v>
      </c>
      <c r="W73" s="15" t="s">
        <v>372</v>
      </c>
      <c r="X73" s="15" t="s">
        <v>238</v>
      </c>
    </row>
    <row r="74" spans="1:24" ht="21.95" customHeight="1">
      <c r="A74" s="4" t="s">
        <v>148</v>
      </c>
      <c r="B74" s="8" t="s">
        <v>149</v>
      </c>
      <c r="C74" s="5">
        <v>16000</v>
      </c>
      <c r="D74" s="5">
        <v>720</v>
      </c>
      <c r="E74" s="5">
        <v>1630</v>
      </c>
      <c r="F74" s="5">
        <v>22.8</v>
      </c>
      <c r="G74" s="5">
        <v>10.1</v>
      </c>
      <c r="H74" s="6" t="s">
        <v>216</v>
      </c>
      <c r="I74" s="7">
        <v>23900</v>
      </c>
      <c r="J74" s="7">
        <v>51363275</v>
      </c>
      <c r="K74" s="9" t="s">
        <v>231</v>
      </c>
      <c r="L74" s="4" t="s">
        <v>232</v>
      </c>
      <c r="M74" s="4" t="s">
        <v>373</v>
      </c>
      <c r="N74" s="4" t="s">
        <v>373</v>
      </c>
      <c r="O74" s="11">
        <v>0.19889999999999999</v>
      </c>
      <c r="P74" s="4" t="s">
        <v>234</v>
      </c>
      <c r="Q74" s="4" t="s">
        <v>235</v>
      </c>
      <c r="R74" s="4" t="s">
        <v>374</v>
      </c>
      <c r="S74" s="13" t="s">
        <v>237</v>
      </c>
      <c r="T74" s="17">
        <v>540</v>
      </c>
      <c r="U74" s="17">
        <v>1200</v>
      </c>
      <c r="V74" s="4" t="s">
        <v>234</v>
      </c>
      <c r="W74" s="15" t="s">
        <v>374</v>
      </c>
      <c r="X74" s="15" t="s">
        <v>238</v>
      </c>
    </row>
    <row r="75" spans="1:24" ht="21.95" customHeight="1">
      <c r="A75" s="4" t="s">
        <v>152</v>
      </c>
      <c r="B75" s="8" t="s">
        <v>153</v>
      </c>
      <c r="C75" s="5">
        <v>31000</v>
      </c>
      <c r="D75" s="5">
        <v>1347</v>
      </c>
      <c r="E75" s="5">
        <v>1410</v>
      </c>
      <c r="F75" s="5">
        <v>23.3</v>
      </c>
      <c r="G75" s="5">
        <v>22.2</v>
      </c>
      <c r="H75" s="6"/>
      <c r="I75" s="7">
        <v>120000</v>
      </c>
      <c r="J75" s="7">
        <v>19360000</v>
      </c>
      <c r="K75" s="9" t="s">
        <v>231</v>
      </c>
      <c r="L75" s="4" t="s">
        <v>232</v>
      </c>
      <c r="M75" s="4" t="s">
        <v>375</v>
      </c>
      <c r="N75" s="4" t="s">
        <v>375</v>
      </c>
      <c r="O75" s="11">
        <v>0.24160000000000001</v>
      </c>
      <c r="P75" s="4" t="s">
        <v>234</v>
      </c>
      <c r="Q75" s="4" t="s">
        <v>235</v>
      </c>
      <c r="R75" s="4" t="s">
        <v>376</v>
      </c>
      <c r="S75" s="13" t="s">
        <v>237</v>
      </c>
      <c r="T75" s="17">
        <v>1059.5</v>
      </c>
      <c r="U75" s="17">
        <v>1037.57</v>
      </c>
      <c r="V75" s="4" t="s">
        <v>234</v>
      </c>
      <c r="W75" s="15" t="s">
        <v>376</v>
      </c>
      <c r="X75" s="15" t="s">
        <v>238</v>
      </c>
    </row>
    <row r="76" spans="1:24" ht="21.95" customHeight="1">
      <c r="A76" s="4" t="s">
        <v>154</v>
      </c>
      <c r="B76" s="8" t="s">
        <v>155</v>
      </c>
      <c r="C76" s="5">
        <v>32000</v>
      </c>
      <c r="D76" s="5">
        <v>1396</v>
      </c>
      <c r="E76" s="5">
        <v>1682</v>
      </c>
      <c r="F76" s="5">
        <v>23.3</v>
      </c>
      <c r="G76" s="5">
        <v>19.3</v>
      </c>
      <c r="H76" s="6"/>
      <c r="I76" s="7">
        <v>219000</v>
      </c>
      <c r="J76" s="7">
        <v>11179416</v>
      </c>
      <c r="K76" s="9" t="s">
        <v>231</v>
      </c>
      <c r="L76" s="4" t="s">
        <v>232</v>
      </c>
      <c r="M76" s="4" t="s">
        <v>377</v>
      </c>
      <c r="N76" s="4" t="s">
        <v>377</v>
      </c>
      <c r="O76" s="11">
        <v>0.21010000000000001</v>
      </c>
      <c r="P76" s="4" t="s">
        <v>288</v>
      </c>
      <c r="Q76" s="4" t="s">
        <v>235</v>
      </c>
      <c r="R76" s="4" t="s">
        <v>378</v>
      </c>
      <c r="S76" s="13" t="s">
        <v>237</v>
      </c>
      <c r="T76" s="17">
        <v>1072.17</v>
      </c>
      <c r="U76" s="17">
        <v>1241.83</v>
      </c>
      <c r="V76" s="4" t="s">
        <v>288</v>
      </c>
      <c r="W76" s="15" t="s">
        <v>378</v>
      </c>
      <c r="X76" s="15" t="s">
        <v>238</v>
      </c>
    </row>
    <row r="77" spans="1:24" ht="21.95" customHeight="1">
      <c r="A77" s="4" t="s">
        <v>170</v>
      </c>
      <c r="B77" s="8" t="s">
        <v>171</v>
      </c>
      <c r="C77" s="5">
        <v>2573</v>
      </c>
      <c r="D77" s="5">
        <v>110</v>
      </c>
      <c r="E77" s="5">
        <v>93</v>
      </c>
      <c r="F77" s="5">
        <v>23.3</v>
      </c>
      <c r="G77" s="5">
        <v>27.7</v>
      </c>
      <c r="H77" s="6"/>
      <c r="I77" s="7">
        <v>10840</v>
      </c>
      <c r="J77" s="7">
        <v>21355274</v>
      </c>
      <c r="K77" s="9" t="s">
        <v>231</v>
      </c>
      <c r="L77" s="4" t="s">
        <v>232</v>
      </c>
      <c r="M77" s="4" t="s">
        <v>379</v>
      </c>
      <c r="N77" s="4" t="s">
        <v>379</v>
      </c>
      <c r="O77" s="11">
        <v>0.12939999999999999</v>
      </c>
      <c r="P77" s="4" t="s">
        <v>234</v>
      </c>
      <c r="Q77" s="4" t="s">
        <v>235</v>
      </c>
      <c r="R77" s="4" t="s">
        <v>380</v>
      </c>
      <c r="S77" s="13" t="s">
        <v>237</v>
      </c>
      <c r="T77" s="17">
        <v>95</v>
      </c>
      <c r="U77" s="17">
        <v>70</v>
      </c>
      <c r="V77" s="4" t="s">
        <v>234</v>
      </c>
      <c r="W77" s="15" t="s">
        <v>380</v>
      </c>
      <c r="X77" s="15" t="s">
        <v>238</v>
      </c>
    </row>
    <row r="78" spans="1:24" ht="21.95" customHeight="1">
      <c r="A78" s="4" t="s">
        <v>168</v>
      </c>
      <c r="B78" s="8" t="s">
        <v>169</v>
      </c>
      <c r="C78" s="5">
        <v>2333</v>
      </c>
      <c r="D78" s="5">
        <v>92</v>
      </c>
      <c r="E78" s="5">
        <v>92</v>
      </c>
      <c r="F78" s="5">
        <v>25.4</v>
      </c>
      <c r="G78" s="5">
        <v>25.4</v>
      </c>
      <c r="H78" s="6"/>
      <c r="I78" s="7">
        <v>17630</v>
      </c>
      <c r="J78" s="7">
        <v>10925658</v>
      </c>
      <c r="K78" s="9" t="s">
        <v>231</v>
      </c>
      <c r="L78" s="4" t="s">
        <v>232</v>
      </c>
      <c r="M78" s="4" t="s">
        <v>381</v>
      </c>
      <c r="N78" s="4" t="s">
        <v>381</v>
      </c>
      <c r="O78" s="11">
        <v>0.1396</v>
      </c>
      <c r="P78" s="4" t="s">
        <v>234</v>
      </c>
      <c r="Q78" s="4" t="s">
        <v>235</v>
      </c>
      <c r="R78" s="4" t="s">
        <v>382</v>
      </c>
      <c r="S78" s="13" t="s">
        <v>237</v>
      </c>
      <c r="T78" s="17">
        <v>60</v>
      </c>
      <c r="U78" s="17">
        <v>50</v>
      </c>
      <c r="V78" s="4" t="s">
        <v>234</v>
      </c>
      <c r="W78" s="15" t="s">
        <v>382</v>
      </c>
      <c r="X78" s="15" t="s">
        <v>238</v>
      </c>
    </row>
    <row r="79" spans="1:24" ht="21.95" customHeight="1">
      <c r="A79" s="4" t="s">
        <v>182</v>
      </c>
      <c r="B79" s="8" t="s">
        <v>183</v>
      </c>
      <c r="C79" s="5">
        <v>24000</v>
      </c>
      <c r="D79" s="5">
        <v>907</v>
      </c>
      <c r="E79" s="5">
        <v>1098</v>
      </c>
      <c r="F79" s="5">
        <v>26.4</v>
      </c>
      <c r="G79" s="5">
        <v>21.8</v>
      </c>
      <c r="H79" s="6"/>
      <c r="I79" s="7">
        <v>116000</v>
      </c>
      <c r="J79" s="7">
        <v>19327238</v>
      </c>
      <c r="K79" s="9" t="s">
        <v>231</v>
      </c>
      <c r="L79" s="4" t="s">
        <v>232</v>
      </c>
      <c r="M79" s="4" t="s">
        <v>383</v>
      </c>
      <c r="N79" s="4" t="s">
        <v>383</v>
      </c>
      <c r="O79" s="11">
        <v>0.18420000000000003</v>
      </c>
      <c r="P79" s="4" t="s">
        <v>288</v>
      </c>
      <c r="Q79" s="4" t="s">
        <v>235</v>
      </c>
      <c r="R79" s="4" t="s">
        <v>384</v>
      </c>
      <c r="S79" s="13" t="s">
        <v>237</v>
      </c>
      <c r="T79" s="17">
        <v>311.25</v>
      </c>
      <c r="U79" s="17">
        <v>371.5</v>
      </c>
      <c r="V79" s="4" t="s">
        <v>288</v>
      </c>
      <c r="W79" s="15" t="s">
        <v>384</v>
      </c>
      <c r="X79" s="15" t="s">
        <v>238</v>
      </c>
    </row>
    <row r="80" spans="1:24" ht="21.95" customHeight="1">
      <c r="A80" s="4" t="s">
        <v>164</v>
      </c>
      <c r="B80" s="8" t="s">
        <v>165</v>
      </c>
      <c r="C80" s="5">
        <v>37000</v>
      </c>
      <c r="D80" s="5">
        <v>1382</v>
      </c>
      <c r="E80" s="5">
        <v>1669</v>
      </c>
      <c r="F80" s="5">
        <v>26.9</v>
      </c>
      <c r="G80" s="5">
        <v>22.2</v>
      </c>
      <c r="H80" s="6"/>
      <c r="I80" s="7">
        <v>121800</v>
      </c>
      <c r="J80" s="7">
        <v>22916042</v>
      </c>
      <c r="K80" s="9" t="s">
        <v>231</v>
      </c>
      <c r="L80" s="4" t="s">
        <v>232</v>
      </c>
      <c r="M80" s="4" t="s">
        <v>385</v>
      </c>
      <c r="N80" s="4" t="s">
        <v>385</v>
      </c>
      <c r="O80" s="11">
        <v>0.20800000000000002</v>
      </c>
      <c r="P80" s="4" t="s">
        <v>234</v>
      </c>
      <c r="Q80" s="4" t="s">
        <v>235</v>
      </c>
      <c r="R80" s="4" t="s">
        <v>386</v>
      </c>
      <c r="S80" s="13" t="s">
        <v>237</v>
      </c>
      <c r="T80" s="17">
        <v>1422</v>
      </c>
      <c r="U80" s="17">
        <v>1023</v>
      </c>
      <c r="V80" s="4" t="s">
        <v>234</v>
      </c>
      <c r="W80" s="15" t="s">
        <v>386</v>
      </c>
      <c r="X80" s="15" t="s">
        <v>238</v>
      </c>
    </row>
    <row r="81" spans="1:24" ht="21.95" customHeight="1">
      <c r="A81" s="4" t="s">
        <v>176</v>
      </c>
      <c r="B81" s="8" t="s">
        <v>177</v>
      </c>
      <c r="C81" s="5">
        <v>60000</v>
      </c>
      <c r="D81" s="5">
        <v>2215</v>
      </c>
      <c r="E81" s="5">
        <v>2599</v>
      </c>
      <c r="F81" s="5">
        <v>26.9</v>
      </c>
      <c r="G81" s="5">
        <v>22.9</v>
      </c>
      <c r="H81" s="6"/>
      <c r="I81" s="7">
        <v>65700</v>
      </c>
      <c r="J81" s="7">
        <v>76211850</v>
      </c>
      <c r="K81" s="9" t="s">
        <v>231</v>
      </c>
      <c r="L81" s="4" t="s">
        <v>232</v>
      </c>
      <c r="M81" s="4" t="s">
        <v>387</v>
      </c>
      <c r="N81" s="4" t="s">
        <v>387</v>
      </c>
      <c r="O81" s="11">
        <v>0.23199999999999998</v>
      </c>
      <c r="P81" s="4" t="s">
        <v>288</v>
      </c>
      <c r="Q81" s="4" t="s">
        <v>235</v>
      </c>
      <c r="R81" s="4" t="s">
        <v>388</v>
      </c>
      <c r="S81" s="13" t="s">
        <v>237</v>
      </c>
      <c r="T81" s="17">
        <v>1886.71</v>
      </c>
      <c r="U81" s="17">
        <v>2160</v>
      </c>
      <c r="V81" s="4" t="s">
        <v>288</v>
      </c>
      <c r="W81" s="15" t="s">
        <v>388</v>
      </c>
      <c r="X81" s="15" t="s">
        <v>238</v>
      </c>
    </row>
    <row r="82" spans="1:24" ht="21.95" customHeight="1">
      <c r="A82" s="4" t="s">
        <v>166</v>
      </c>
      <c r="B82" s="8" t="s">
        <v>167</v>
      </c>
      <c r="C82" s="5">
        <v>64000</v>
      </c>
      <c r="D82" s="5">
        <v>2376</v>
      </c>
      <c r="E82" s="5">
        <v>2714</v>
      </c>
      <c r="F82" s="5">
        <v>27</v>
      </c>
      <c r="G82" s="5">
        <v>23.7</v>
      </c>
      <c r="H82" s="6"/>
      <c r="I82" s="7">
        <v>99200</v>
      </c>
      <c r="J82" s="7">
        <v>49083901</v>
      </c>
      <c r="K82" s="9" t="s">
        <v>231</v>
      </c>
      <c r="L82" s="4" t="s">
        <v>232</v>
      </c>
      <c r="M82" s="4" t="s">
        <v>389</v>
      </c>
      <c r="N82" s="4" t="s">
        <v>389</v>
      </c>
      <c r="O82" s="11">
        <v>0.18239999999999998</v>
      </c>
      <c r="P82" s="4" t="s">
        <v>234</v>
      </c>
      <c r="Q82" s="4" t="s">
        <v>235</v>
      </c>
      <c r="R82" s="4" t="s">
        <v>390</v>
      </c>
      <c r="S82" s="13" t="s">
        <v>237</v>
      </c>
      <c r="T82" s="17">
        <v>2206.5</v>
      </c>
      <c r="U82" s="17">
        <v>1757.86</v>
      </c>
      <c r="V82" s="4" t="s">
        <v>234</v>
      </c>
      <c r="W82" s="15" t="s">
        <v>390</v>
      </c>
      <c r="X82" s="15" t="s">
        <v>238</v>
      </c>
    </row>
    <row r="83" spans="1:24" ht="21.95" customHeight="1">
      <c r="A83" s="4" t="s">
        <v>178</v>
      </c>
      <c r="B83" s="8" t="s">
        <v>179</v>
      </c>
      <c r="C83" s="5">
        <v>18000</v>
      </c>
      <c r="D83" s="5">
        <v>633</v>
      </c>
      <c r="E83" s="5">
        <v>795</v>
      </c>
      <c r="F83" s="5">
        <v>28.2</v>
      </c>
      <c r="G83" s="5">
        <v>22.4</v>
      </c>
      <c r="H83" s="6"/>
      <c r="I83" s="7">
        <v>8730</v>
      </c>
      <c r="J83" s="7">
        <v>164460303</v>
      </c>
      <c r="K83" s="9" t="s">
        <v>231</v>
      </c>
      <c r="L83" s="4" t="s">
        <v>232</v>
      </c>
      <c r="M83" s="4" t="s">
        <v>391</v>
      </c>
      <c r="N83" s="4" t="s">
        <v>391</v>
      </c>
      <c r="O83" s="11">
        <v>0.126</v>
      </c>
      <c r="P83" s="4" t="s">
        <v>234</v>
      </c>
      <c r="Q83" s="4" t="s">
        <v>235</v>
      </c>
      <c r="R83" s="4" t="s">
        <v>392</v>
      </c>
      <c r="S83" s="13" t="s">
        <v>237</v>
      </c>
      <c r="T83" s="17">
        <v>-6.67</v>
      </c>
      <c r="U83" s="17">
        <v>-55.8</v>
      </c>
      <c r="V83" s="4" t="s">
        <v>234</v>
      </c>
      <c r="W83" s="15" t="s">
        <v>392</v>
      </c>
      <c r="X83" s="15" t="s">
        <v>238</v>
      </c>
    </row>
    <row r="84" spans="1:24" ht="21.95" customHeight="1">
      <c r="A84" s="4" t="s">
        <v>172</v>
      </c>
      <c r="B84" s="8" t="s">
        <v>173</v>
      </c>
      <c r="C84" s="5">
        <v>7003</v>
      </c>
      <c r="D84" s="5">
        <v>245</v>
      </c>
      <c r="E84" s="5">
        <v>427</v>
      </c>
      <c r="F84" s="5">
        <v>28.6</v>
      </c>
      <c r="G84" s="5">
        <v>16.399999999999999</v>
      </c>
      <c r="H84" s="6"/>
      <c r="I84" s="7">
        <v>25300</v>
      </c>
      <c r="J84" s="7">
        <v>21649789</v>
      </c>
      <c r="K84" s="9" t="s">
        <v>231</v>
      </c>
      <c r="L84" s="4" t="s">
        <v>232</v>
      </c>
      <c r="M84" s="4" t="s">
        <v>393</v>
      </c>
      <c r="N84" s="4" t="s">
        <v>393</v>
      </c>
      <c r="O84" s="11">
        <v>8.4199999999999997E-2</v>
      </c>
      <c r="P84" s="4" t="s">
        <v>234</v>
      </c>
      <c r="Q84" s="4" t="s">
        <v>235</v>
      </c>
      <c r="R84" s="4" t="s">
        <v>394</v>
      </c>
      <c r="S84" s="13" t="s">
        <v>237</v>
      </c>
      <c r="T84" s="17">
        <v>133</v>
      </c>
      <c r="U84" s="17">
        <v>277</v>
      </c>
      <c r="V84" s="4" t="s">
        <v>234</v>
      </c>
      <c r="W84" s="15" t="s">
        <v>394</v>
      </c>
      <c r="X84" s="15" t="s">
        <v>238</v>
      </c>
    </row>
    <row r="85" spans="1:24" ht="21.95" customHeight="1">
      <c r="A85" s="4" t="s">
        <v>174</v>
      </c>
      <c r="B85" s="8" t="s">
        <v>175</v>
      </c>
      <c r="C85" s="5">
        <v>50000</v>
      </c>
      <c r="D85" s="5">
        <v>1737</v>
      </c>
      <c r="E85" s="5">
        <v>2150</v>
      </c>
      <c r="F85" s="5">
        <v>28.9</v>
      </c>
      <c r="G85" s="5">
        <v>23.4</v>
      </c>
      <c r="H85" s="6"/>
      <c r="I85" s="7">
        <v>47700</v>
      </c>
      <c r="J85" s="7">
        <v>82300000</v>
      </c>
      <c r="K85" s="9" t="s">
        <v>231</v>
      </c>
      <c r="L85" s="4" t="s">
        <v>232</v>
      </c>
      <c r="M85" s="4" t="s">
        <v>395</v>
      </c>
      <c r="N85" s="4" t="s">
        <v>395</v>
      </c>
      <c r="O85" s="11">
        <v>0.37689999999999996</v>
      </c>
      <c r="P85" s="4" t="s">
        <v>288</v>
      </c>
      <c r="Q85" s="4" t="s">
        <v>235</v>
      </c>
      <c r="R85" s="4" t="s">
        <v>396</v>
      </c>
      <c r="S85" s="13" t="s">
        <v>237</v>
      </c>
      <c r="T85" s="17">
        <v>1201.67</v>
      </c>
      <c r="U85" s="17">
        <v>1391</v>
      </c>
      <c r="V85" s="4" t="s">
        <v>288</v>
      </c>
      <c r="W85" s="15" t="s">
        <v>396</v>
      </c>
      <c r="X85" s="15" t="s">
        <v>238</v>
      </c>
    </row>
    <row r="86" spans="1:24" ht="21.95" customHeight="1">
      <c r="A86" s="4" t="s">
        <v>184</v>
      </c>
      <c r="B86" s="8" t="s">
        <v>185</v>
      </c>
      <c r="C86" s="5">
        <v>14000</v>
      </c>
      <c r="D86" s="5">
        <v>449</v>
      </c>
      <c r="E86" s="5">
        <v>724</v>
      </c>
      <c r="F86" s="5">
        <v>31</v>
      </c>
      <c r="G86" s="5">
        <v>19.2</v>
      </c>
      <c r="H86" s="6" t="s">
        <v>216</v>
      </c>
      <c r="I86" s="7">
        <v>13600</v>
      </c>
      <c r="J86" s="7">
        <v>82045350</v>
      </c>
      <c r="K86" s="9" t="s">
        <v>231</v>
      </c>
      <c r="L86" s="4" t="s">
        <v>232</v>
      </c>
      <c r="M86" s="4" t="s">
        <v>397</v>
      </c>
      <c r="N86" s="4" t="s">
        <v>397</v>
      </c>
      <c r="O86" s="11">
        <v>0.10619999999999999</v>
      </c>
      <c r="P86" s="4" t="s">
        <v>234</v>
      </c>
      <c r="Q86" s="4" t="s">
        <v>235</v>
      </c>
      <c r="R86" s="4" t="s">
        <v>398</v>
      </c>
      <c r="S86" s="13" t="s">
        <v>237</v>
      </c>
      <c r="T86" s="17">
        <v>342.8</v>
      </c>
      <c r="U86" s="17">
        <v>546.33000000000004</v>
      </c>
      <c r="V86" s="4" t="s">
        <v>234</v>
      </c>
      <c r="W86" s="15" t="s">
        <v>398</v>
      </c>
      <c r="X86" s="15" t="s">
        <v>238</v>
      </c>
    </row>
    <row r="87" spans="1:24" ht="21.95" customHeight="1">
      <c r="A87" s="4" t="s">
        <v>186</v>
      </c>
      <c r="B87" s="8" t="s">
        <v>187</v>
      </c>
      <c r="C87" s="5">
        <v>41000</v>
      </c>
      <c r="D87" s="5">
        <v>1208</v>
      </c>
      <c r="E87" s="5">
        <v>1430</v>
      </c>
      <c r="F87" s="5">
        <v>33.6</v>
      </c>
      <c r="G87" s="5">
        <v>28.4</v>
      </c>
      <c r="H87" s="6"/>
      <c r="I87" s="7">
        <v>141800</v>
      </c>
      <c r="J87" s="7">
        <v>21197058</v>
      </c>
      <c r="K87" s="9" t="s">
        <v>231</v>
      </c>
      <c r="L87" s="4" t="s">
        <v>232</v>
      </c>
      <c r="M87" s="4" t="s">
        <v>399</v>
      </c>
      <c r="N87" s="4" t="s">
        <v>399</v>
      </c>
      <c r="O87" s="11">
        <v>0.17739999999999997</v>
      </c>
      <c r="P87" s="4" t="s">
        <v>234</v>
      </c>
      <c r="Q87" s="4" t="s">
        <v>235</v>
      </c>
      <c r="R87" s="4" t="s">
        <v>400</v>
      </c>
      <c r="S87" s="13" t="s">
        <v>237</v>
      </c>
      <c r="T87" s="17">
        <v>897.5</v>
      </c>
      <c r="U87" s="17">
        <v>1033.5</v>
      </c>
      <c r="V87" s="4" t="s">
        <v>234</v>
      </c>
      <c r="W87" s="15" t="s">
        <v>400</v>
      </c>
      <c r="X87" s="15" t="s">
        <v>238</v>
      </c>
    </row>
    <row r="88" spans="1:24" ht="21.95" customHeight="1">
      <c r="A88" s="4" t="s">
        <v>190</v>
      </c>
      <c r="B88" s="8" t="s">
        <v>191</v>
      </c>
      <c r="C88" s="5">
        <v>21000</v>
      </c>
      <c r="D88" s="5">
        <v>618</v>
      </c>
      <c r="E88" s="5">
        <v>695</v>
      </c>
      <c r="F88" s="5">
        <v>34</v>
      </c>
      <c r="G88" s="5">
        <v>30.2</v>
      </c>
      <c r="H88" s="6"/>
      <c r="I88" s="7">
        <v>250500</v>
      </c>
      <c r="J88" s="7">
        <v>7002469</v>
      </c>
      <c r="K88" s="9" t="s">
        <v>231</v>
      </c>
      <c r="L88" s="4" t="s">
        <v>232</v>
      </c>
      <c r="M88" s="4" t="s">
        <v>401</v>
      </c>
      <c r="N88" s="4" t="s">
        <v>401</v>
      </c>
      <c r="O88" s="11">
        <v>0.1716</v>
      </c>
      <c r="P88" s="4" t="s">
        <v>234</v>
      </c>
      <c r="Q88" s="4" t="s">
        <v>235</v>
      </c>
      <c r="R88" s="4" t="s">
        <v>402</v>
      </c>
      <c r="S88" s="13" t="s">
        <v>237</v>
      </c>
      <c r="T88" s="17">
        <v>468.62</v>
      </c>
      <c r="U88" s="17">
        <v>502.38</v>
      </c>
      <c r="V88" s="4" t="s">
        <v>234</v>
      </c>
      <c r="W88" s="15" t="s">
        <v>402</v>
      </c>
      <c r="X88" s="15" t="s">
        <v>238</v>
      </c>
    </row>
    <row r="89" spans="1:24" ht="21.95" customHeight="1">
      <c r="A89" s="4" t="s">
        <v>192</v>
      </c>
      <c r="B89" s="8" t="s">
        <v>193</v>
      </c>
      <c r="C89" s="5">
        <v>63000</v>
      </c>
      <c r="D89" s="5">
        <v>1754</v>
      </c>
      <c r="E89" s="5">
        <v>2144</v>
      </c>
      <c r="F89" s="5">
        <v>35.9</v>
      </c>
      <c r="G89" s="5">
        <v>29.4</v>
      </c>
      <c r="H89" s="6"/>
      <c r="I89" s="7">
        <v>414500</v>
      </c>
      <c r="J89" s="7">
        <v>12319550</v>
      </c>
      <c r="K89" s="9" t="s">
        <v>231</v>
      </c>
      <c r="L89" s="4" t="s">
        <v>232</v>
      </c>
      <c r="M89" s="4" t="s">
        <v>403</v>
      </c>
      <c r="N89" s="4" t="s">
        <v>403</v>
      </c>
      <c r="O89" s="11">
        <v>0.2039</v>
      </c>
      <c r="P89" s="4" t="s">
        <v>234</v>
      </c>
      <c r="Q89" s="4" t="s">
        <v>235</v>
      </c>
      <c r="R89" s="4" t="s">
        <v>404</v>
      </c>
      <c r="S89" s="13" t="s">
        <v>237</v>
      </c>
      <c r="T89" s="17">
        <v>1152</v>
      </c>
      <c r="U89" s="17">
        <v>1332</v>
      </c>
      <c r="V89" s="4" t="s">
        <v>234</v>
      </c>
      <c r="W89" s="15" t="s">
        <v>404</v>
      </c>
      <c r="X89" s="15" t="s">
        <v>238</v>
      </c>
    </row>
    <row r="90" spans="1:24" ht="21.95" customHeight="1">
      <c r="A90" s="4" t="s">
        <v>194</v>
      </c>
      <c r="B90" s="8" t="s">
        <v>195</v>
      </c>
      <c r="C90" s="5">
        <v>25000</v>
      </c>
      <c r="D90" s="5">
        <v>672</v>
      </c>
      <c r="E90" s="5">
        <v>736</v>
      </c>
      <c r="F90" s="5">
        <v>37.200000000000003</v>
      </c>
      <c r="G90" s="5">
        <v>34</v>
      </c>
      <c r="H90" s="6"/>
      <c r="I90" s="7">
        <v>30250</v>
      </c>
      <c r="J90" s="7">
        <v>68204213</v>
      </c>
      <c r="K90" s="9" t="s">
        <v>231</v>
      </c>
      <c r="L90" s="4" t="s">
        <v>232</v>
      </c>
      <c r="M90" s="4" t="s">
        <v>405</v>
      </c>
      <c r="N90" s="4" t="s">
        <v>405</v>
      </c>
      <c r="O90" s="11">
        <v>0.16370000000000001</v>
      </c>
      <c r="P90" s="4" t="s">
        <v>234</v>
      </c>
      <c r="Q90" s="4" t="s">
        <v>235</v>
      </c>
      <c r="R90" s="4" t="s">
        <v>406</v>
      </c>
      <c r="S90" s="13" t="s">
        <v>237</v>
      </c>
      <c r="T90" s="17">
        <v>616.57000000000005</v>
      </c>
      <c r="U90" s="17">
        <v>576.29</v>
      </c>
      <c r="V90" s="4" t="s">
        <v>234</v>
      </c>
      <c r="W90" s="15" t="s">
        <v>406</v>
      </c>
      <c r="X90" s="15" t="s">
        <v>238</v>
      </c>
    </row>
    <row r="91" spans="1:24" ht="95.1" customHeight="1">
      <c r="A91" s="4" t="s">
        <v>198</v>
      </c>
      <c r="B91" s="8" t="s">
        <v>199</v>
      </c>
      <c r="C91" s="5">
        <v>237000</v>
      </c>
      <c r="D91" s="5">
        <v>5124</v>
      </c>
      <c r="E91" s="5">
        <v>5617</v>
      </c>
      <c r="F91" s="5">
        <v>46.2</v>
      </c>
      <c r="G91" s="5">
        <v>42.2</v>
      </c>
      <c r="H91" s="6"/>
      <c r="I91" s="7">
        <v>186700</v>
      </c>
      <c r="J91" s="7">
        <v>95312200</v>
      </c>
      <c r="K91" s="9" t="s">
        <v>231</v>
      </c>
      <c r="L91" s="4" t="s">
        <v>232</v>
      </c>
      <c r="M91" s="4" t="s">
        <v>407</v>
      </c>
      <c r="N91" s="4" t="s">
        <v>407</v>
      </c>
      <c r="O91" s="11" t="s">
        <v>242</v>
      </c>
      <c r="P91" s="4" t="s">
        <v>234</v>
      </c>
      <c r="Q91" s="4" t="s">
        <v>235</v>
      </c>
      <c r="R91" s="4" t="s">
        <v>408</v>
      </c>
      <c r="S91" s="13" t="s">
        <v>409</v>
      </c>
      <c r="T91" s="17"/>
      <c r="U91" s="17"/>
      <c r="V91" s="4" t="s">
        <v>234</v>
      </c>
      <c r="W91" s="15" t="s">
        <v>408</v>
      </c>
      <c r="X91" s="15" t="s">
        <v>410</v>
      </c>
    </row>
    <row r="92" spans="1:24" ht="21.95" customHeight="1">
      <c r="A92" s="4" t="s">
        <v>200</v>
      </c>
      <c r="B92" s="8" t="s">
        <v>201</v>
      </c>
      <c r="C92" s="5">
        <v>118000</v>
      </c>
      <c r="D92" s="5">
        <v>1172</v>
      </c>
      <c r="E92" s="5">
        <v>1401</v>
      </c>
      <c r="F92" s="5">
        <v>100.3</v>
      </c>
      <c r="G92" s="5">
        <v>83.9</v>
      </c>
      <c r="H92" s="6"/>
      <c r="I92" s="7">
        <v>197100</v>
      </c>
      <c r="J92" s="7">
        <v>46481121</v>
      </c>
      <c r="K92" s="9" t="s">
        <v>231</v>
      </c>
      <c r="L92" s="4" t="s">
        <v>232</v>
      </c>
      <c r="M92" s="4" t="s">
        <v>411</v>
      </c>
      <c r="N92" s="4" t="s">
        <v>411</v>
      </c>
      <c r="O92" s="11">
        <v>0.159</v>
      </c>
      <c r="P92" s="4" t="s">
        <v>234</v>
      </c>
      <c r="Q92" s="4" t="s">
        <v>235</v>
      </c>
      <c r="R92" s="4" t="s">
        <v>412</v>
      </c>
      <c r="S92" s="13" t="s">
        <v>237</v>
      </c>
      <c r="T92" s="17">
        <v>418</v>
      </c>
      <c r="U92" s="17">
        <v>408</v>
      </c>
      <c r="V92" s="4" t="s">
        <v>234</v>
      </c>
      <c r="W92" s="15" t="s">
        <v>412</v>
      </c>
      <c r="X92" s="15" t="s">
        <v>238</v>
      </c>
    </row>
    <row r="93" spans="1:24" ht="60" customHeight="1">
      <c r="A93" s="4" t="s">
        <v>202</v>
      </c>
      <c r="B93" s="8" t="s">
        <v>203</v>
      </c>
      <c r="C93" s="5"/>
      <c r="D93" s="5"/>
      <c r="E93" s="5"/>
      <c r="F93" s="5"/>
      <c r="G93" s="5"/>
      <c r="H93" s="6"/>
      <c r="I93" s="7">
        <v>45400</v>
      </c>
      <c r="J93" s="7">
        <v>8312766</v>
      </c>
      <c r="K93" s="9" t="s">
        <v>231</v>
      </c>
      <c r="L93" s="4" t="s">
        <v>413</v>
      </c>
      <c r="M93" s="4" t="s">
        <v>414</v>
      </c>
      <c r="N93" s="4" t="s">
        <v>414</v>
      </c>
      <c r="O93" s="11" t="s">
        <v>242</v>
      </c>
      <c r="P93" s="4" t="s">
        <v>234</v>
      </c>
      <c r="Q93" s="4" t="s">
        <v>235</v>
      </c>
      <c r="R93" s="4" t="s">
        <v>415</v>
      </c>
      <c r="S93" s="13" t="s">
        <v>416</v>
      </c>
      <c r="T93" s="17"/>
      <c r="U93" s="17"/>
      <c r="V93" s="4" t="s">
        <v>234</v>
      </c>
      <c r="W93" s="15" t="s">
        <v>415</v>
      </c>
      <c r="X93" s="15" t="s">
        <v>410</v>
      </c>
    </row>
    <row r="94" spans="1:24" ht="21.95" customHeight="1">
      <c r="A94" s="4" t="s">
        <v>111</v>
      </c>
      <c r="B94" s="8" t="s">
        <v>112</v>
      </c>
      <c r="C94" s="5"/>
      <c r="D94" s="5">
        <v>210</v>
      </c>
      <c r="E94" s="5">
        <v>332.5</v>
      </c>
      <c r="F94" s="5"/>
      <c r="G94" s="5"/>
      <c r="H94" s="6"/>
      <c r="I94" s="7">
        <v>17950</v>
      </c>
      <c r="J94" s="7">
        <v>13794818</v>
      </c>
      <c r="K94" s="9" t="s">
        <v>231</v>
      </c>
      <c r="L94" s="4" t="s">
        <v>417</v>
      </c>
      <c r="M94" s="4" t="s">
        <v>418</v>
      </c>
      <c r="N94" s="4" t="s">
        <v>418</v>
      </c>
      <c r="O94" s="11">
        <v>0.24600000000000002</v>
      </c>
      <c r="P94" s="4" t="s">
        <v>234</v>
      </c>
      <c r="Q94" s="4" t="s">
        <v>235</v>
      </c>
      <c r="R94" s="4" t="s">
        <v>419</v>
      </c>
      <c r="S94" s="13" t="s">
        <v>237</v>
      </c>
      <c r="T94" s="17">
        <v>118.67</v>
      </c>
      <c r="U94" s="17">
        <v>175.22</v>
      </c>
      <c r="V94" s="4" t="s">
        <v>234</v>
      </c>
      <c r="W94" s="15" t="s">
        <v>419</v>
      </c>
      <c r="X94" s="15" t="s">
        <v>238</v>
      </c>
    </row>
    <row r="95" spans="1:24" ht="21.95" customHeight="1">
      <c r="A95" s="4" t="s">
        <v>180</v>
      </c>
      <c r="B95" s="8" t="s">
        <v>181</v>
      </c>
      <c r="C95" s="5"/>
      <c r="D95" s="5">
        <v>797</v>
      </c>
      <c r="E95" s="5">
        <v>1081</v>
      </c>
      <c r="F95" s="5"/>
      <c r="G95" s="5"/>
      <c r="H95" s="6"/>
      <c r="I95" s="7">
        <v>25300</v>
      </c>
      <c r="J95" s="7">
        <v>75451848</v>
      </c>
      <c r="K95" s="9" t="s">
        <v>231</v>
      </c>
      <c r="L95" s="4" t="s">
        <v>420</v>
      </c>
      <c r="M95" s="4" t="s">
        <v>421</v>
      </c>
      <c r="N95" s="4" t="s">
        <v>421</v>
      </c>
      <c r="O95" s="11">
        <v>9.4600000000000004E-2</v>
      </c>
      <c r="P95" s="4" t="s">
        <v>234</v>
      </c>
      <c r="Q95" s="4" t="s">
        <v>235</v>
      </c>
      <c r="R95" s="4" t="s">
        <v>422</v>
      </c>
      <c r="S95" s="13" t="s">
        <v>237</v>
      </c>
      <c r="T95" s="17">
        <v>2246</v>
      </c>
      <c r="U95" s="17">
        <v>410</v>
      </c>
      <c r="V95" s="4" t="s">
        <v>234</v>
      </c>
      <c r="W95" s="15" t="s">
        <v>422</v>
      </c>
      <c r="X95" s="15" t="s">
        <v>238</v>
      </c>
    </row>
    <row r="96" spans="1:24" ht="21.95" customHeight="1">
      <c r="A96" s="4" t="s">
        <v>196</v>
      </c>
      <c r="B96" s="8" t="s">
        <v>197</v>
      </c>
      <c r="C96" s="5"/>
      <c r="D96" s="5">
        <v>218.6</v>
      </c>
      <c r="E96" s="5">
        <v>315.60000000000002</v>
      </c>
      <c r="F96" s="5"/>
      <c r="G96" s="5"/>
      <c r="H96" s="6"/>
      <c r="I96" s="7">
        <v>38850</v>
      </c>
      <c r="J96" s="7">
        <v>17987408</v>
      </c>
      <c r="K96" s="9" t="s">
        <v>231</v>
      </c>
      <c r="L96" s="4" t="s">
        <v>423</v>
      </c>
      <c r="M96" s="4" t="s">
        <v>424</v>
      </c>
      <c r="N96" s="4" t="s">
        <v>424</v>
      </c>
      <c r="O96" s="11">
        <v>0.26179999999999998</v>
      </c>
      <c r="P96" s="4" t="s">
        <v>234</v>
      </c>
      <c r="Q96" s="4" t="s">
        <v>235</v>
      </c>
      <c r="R96" s="4" t="s">
        <v>425</v>
      </c>
      <c r="S96" s="13" t="s">
        <v>237</v>
      </c>
      <c r="T96" s="17">
        <v>129</v>
      </c>
      <c r="U96" s="17">
        <v>183.8</v>
      </c>
      <c r="V96" s="4" t="s">
        <v>234</v>
      </c>
      <c r="W96" s="15" t="s">
        <v>425</v>
      </c>
      <c r="X96" s="15" t="s">
        <v>238</v>
      </c>
    </row>
    <row r="97" spans="1:24" ht="21.95" customHeight="1">
      <c r="A97" s="4" t="s">
        <v>188</v>
      </c>
      <c r="B97" s="8" t="s">
        <v>189</v>
      </c>
      <c r="C97" s="5"/>
      <c r="D97" s="5">
        <v>31520.68</v>
      </c>
      <c r="E97" s="5">
        <v>40214.839999999997</v>
      </c>
      <c r="F97" s="5"/>
      <c r="G97" s="5"/>
      <c r="H97" s="6"/>
      <c r="I97" s="7">
        <v>1122000</v>
      </c>
      <c r="J97" s="7">
        <v>74693696</v>
      </c>
      <c r="K97" s="9" t="s">
        <v>231</v>
      </c>
      <c r="L97" s="4" t="s">
        <v>426</v>
      </c>
      <c r="M97" s="4" t="s">
        <v>427</v>
      </c>
      <c r="N97" s="4" t="s">
        <v>427</v>
      </c>
      <c r="O97" s="11">
        <v>0.25019999999999998</v>
      </c>
      <c r="P97" s="4" t="s">
        <v>234</v>
      </c>
      <c r="Q97" s="4" t="s">
        <v>235</v>
      </c>
      <c r="R97" s="4" t="s">
        <v>428</v>
      </c>
      <c r="S97" s="13" t="s">
        <v>237</v>
      </c>
      <c r="T97" s="17">
        <v>16066.42</v>
      </c>
      <c r="U97" s="17">
        <v>20461.419999999998</v>
      </c>
      <c r="V97" s="4" t="s">
        <v>234</v>
      </c>
      <c r="W97" s="15" t="s">
        <v>428</v>
      </c>
      <c r="X97" s="15" t="s">
        <v>238</v>
      </c>
    </row>
    <row r="98" spans="1:24" ht="60" customHeight="1">
      <c r="A98" s="4" t="s">
        <v>205</v>
      </c>
      <c r="B98" s="8" t="s">
        <v>206</v>
      </c>
      <c r="C98" s="5"/>
      <c r="D98" s="5"/>
      <c r="E98" s="5"/>
      <c r="F98" s="5"/>
      <c r="G98" s="5"/>
      <c r="H98" s="6"/>
      <c r="I98" s="7">
        <v>39850</v>
      </c>
      <c r="J98" s="7">
        <v>37053645</v>
      </c>
      <c r="K98" s="9" t="s">
        <v>231</v>
      </c>
      <c r="L98" s="4" t="s">
        <v>429</v>
      </c>
      <c r="M98" s="4" t="s">
        <v>430</v>
      </c>
      <c r="N98" s="4" t="s">
        <v>430</v>
      </c>
      <c r="O98" s="11" t="s">
        <v>242</v>
      </c>
      <c r="P98" s="4" t="s">
        <v>234</v>
      </c>
      <c r="Q98" s="4" t="s">
        <v>235</v>
      </c>
      <c r="R98" s="4" t="s">
        <v>431</v>
      </c>
      <c r="S98" s="13" t="s">
        <v>416</v>
      </c>
      <c r="T98" s="17"/>
      <c r="U98" s="17"/>
      <c r="V98" s="4" t="s">
        <v>234</v>
      </c>
      <c r="W98" s="15" t="s">
        <v>431</v>
      </c>
      <c r="X98" s="15" t="s">
        <v>410</v>
      </c>
    </row>
    <row r="99" spans="1:24" ht="60" customHeight="1">
      <c r="A99" s="4" t="s">
        <v>207</v>
      </c>
      <c r="B99" s="8" t="s">
        <v>208</v>
      </c>
      <c r="C99" s="5"/>
      <c r="D99" s="5"/>
      <c r="E99" s="5"/>
      <c r="F99" s="5"/>
      <c r="G99" s="5"/>
      <c r="H99" s="6"/>
      <c r="I99" s="7">
        <v>10180</v>
      </c>
      <c r="J99" s="7">
        <v>31016990</v>
      </c>
      <c r="K99" s="9" t="s">
        <v>231</v>
      </c>
      <c r="L99" s="4" t="s">
        <v>432</v>
      </c>
      <c r="M99" s="4" t="s">
        <v>433</v>
      </c>
      <c r="N99" s="4" t="s">
        <v>433</v>
      </c>
      <c r="O99" s="11" t="s">
        <v>242</v>
      </c>
      <c r="P99" s="4" t="s">
        <v>234</v>
      </c>
      <c r="Q99" s="4" t="s">
        <v>235</v>
      </c>
      <c r="R99" s="4" t="s">
        <v>434</v>
      </c>
      <c r="S99" s="13" t="s">
        <v>416</v>
      </c>
      <c r="T99" s="17"/>
      <c r="U99" s="17"/>
      <c r="V99" s="4" t="s">
        <v>234</v>
      </c>
      <c r="W99" s="15" t="s">
        <v>434</v>
      </c>
      <c r="X99" s="15" t="s">
        <v>410</v>
      </c>
    </row>
    <row r="100" spans="1:24" ht="21.9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4" ht="21.9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4" ht="21.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4" ht="21.9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4" ht="21.9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4" ht="21.9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</sheetData>
  <phoneticPr fontId="1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2027 밸류에이션</vt:lpstr>
      <vt:lpstr>원자료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 Hoon Moon</cp:lastModifiedBy>
  <dcterms:modified xsi:type="dcterms:W3CDTF">2026-10-19T02:27:57Z</dcterms:modified>
</cp:coreProperties>
</file>